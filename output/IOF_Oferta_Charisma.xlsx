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umar" sheetId="1" state="visible" r:id="rId1"/>
    <sheet name="IOF" sheetId="2" state="visible" r:id="rId2"/>
  </sheets>
  <definedNames>
    <definedName name="_xlnm._FilterDatabase" localSheetId="1" hidden="1">'IOF'!$A$2:$Z$86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;-0.00;;@"/>
    <numFmt numFmtId="165" formatCode="#,##0.##"/>
    <numFmt numFmtId="166" formatCode="0.00;-0.00;&quot;OK&quot;"/>
    <numFmt numFmtId="167" formatCode="#,##0;-#,##0;&quot;OK&quot;"/>
  </numFmts>
  <fonts count="20">
    <font>
      <name val="Aptos Narrow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FF0000"/>
      <sz val="10"/>
    </font>
    <font>
      <name val="Calibri"/>
      <family val="2"/>
      <sz val="10"/>
    </font>
    <font>
      <name val="Calibri"/>
      <family val="2"/>
      <color rgb="FF000000"/>
      <sz val="10"/>
    </font>
    <font>
      <name val="Calibri"/>
      <family val="2"/>
      <color rgb="FF000000"/>
      <sz val="11"/>
    </font>
    <font>
      <name val="Calibri"/>
      <charset val="1"/>
      <color rgb="FF000000"/>
      <sz val="10"/>
    </font>
    <font>
      <name val="Calibri"/>
      <family val="2"/>
      <color rgb="FFFF0000"/>
      <sz val="10"/>
    </font>
    <font>
      <name val="Calibri"/>
      <family val="2"/>
      <b val="1"/>
      <color rgb="FF0070C0"/>
      <sz val="10"/>
    </font>
    <font>
      <name val="Calibri"/>
      <family val="2"/>
      <color rgb="FF0070C0"/>
      <sz val="10"/>
    </font>
    <font>
      <name val="Calibri"/>
      <b val="1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b val="1"/>
      <color rgb="001F3864"/>
      <sz val="13"/>
    </font>
    <font>
      <name val="Calibri"/>
      <i val="1"/>
      <sz val="9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0000FF"/>
      <sz val="10"/>
    </font>
    <font>
      <name val="Calibri"/>
      <b val="1"/>
      <color rgb="00FFFF00"/>
      <sz val="10"/>
    </font>
    <font>
      <name val="Calibri"/>
      <i val="1"/>
      <sz val="10"/>
    </font>
  </fonts>
  <fills count="14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BDD7E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justify" vertical="center"/>
    </xf>
    <xf numFmtId="0" fontId="3" fillId="0" borderId="4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4" fillId="0" borderId="1" applyAlignment="1" pivotButton="0" quotePrefix="0" xfId="0">
      <alignment horizontal="left" vertical="center" wrapText="1"/>
    </xf>
    <xf numFmtId="0" fontId="1" fillId="3" borderId="5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4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justify" vertical="center" wrapText="1"/>
    </xf>
    <xf numFmtId="0" fontId="5" fillId="2" borderId="1" pivotButton="0" quotePrefix="0" xfId="0"/>
    <xf numFmtId="0" fontId="3" fillId="0" borderId="6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2" borderId="6" applyAlignment="1" pivotButton="0" quotePrefix="0" xfId="0">
      <alignment wrapText="1"/>
    </xf>
    <xf numFmtId="0" fontId="6" fillId="0" borderId="0" pivotButton="0" quotePrefix="0" xfId="0"/>
    <xf numFmtId="0" fontId="4" fillId="0" borderId="7" applyAlignment="1" pivotButton="0" quotePrefix="0" xfId="0">
      <alignment wrapText="1"/>
    </xf>
    <xf numFmtId="0" fontId="4" fillId="2" borderId="7" applyAlignment="1" pivotButton="0" quotePrefix="0" xfId="0">
      <alignment wrapText="1"/>
    </xf>
    <xf numFmtId="0" fontId="3" fillId="0" borderId="1" applyAlignment="1" pivotButton="0" quotePrefix="0" xfId="0">
      <alignment horizontal="left" vertical="center" wrapText="1"/>
    </xf>
    <xf numFmtId="0" fontId="4" fillId="2" borderId="8" applyAlignment="1" pivotButton="0" quotePrefix="0" xfId="0">
      <alignment wrapText="1"/>
    </xf>
    <xf numFmtId="0" fontId="4" fillId="2" borderId="9" applyAlignment="1" pivotButton="0" quotePrefix="0" xfId="0">
      <alignment wrapText="1"/>
    </xf>
    <xf numFmtId="0" fontId="4" fillId="2" borderId="10" applyAlignment="1" pivotButton="0" quotePrefix="0" xfId="0">
      <alignment wrapText="1"/>
    </xf>
    <xf numFmtId="0" fontId="5" fillId="2" borderId="10" pivotButton="0" quotePrefix="0" xfId="0"/>
    <xf numFmtId="0" fontId="1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justify" vertical="center"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9" fillId="0" borderId="7" applyAlignment="1" pivotButton="0" quotePrefix="0" xfId="0">
      <alignment wrapText="1"/>
    </xf>
    <xf numFmtId="0" fontId="9" fillId="0" borderId="6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9" fillId="2" borderId="6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justify" vertical="center"/>
    </xf>
    <xf numFmtId="0" fontId="1" fillId="0" borderId="5" applyAlignment="1" pivotButton="0" quotePrefix="0" xfId="0">
      <alignment horizontal="justify" vertical="center"/>
    </xf>
    <xf numFmtId="0" fontId="1" fillId="0" borderId="3" applyAlignment="1" pivotButton="0" quotePrefix="0" xfId="0">
      <alignment horizontal="justify" vertical="center"/>
    </xf>
    <xf numFmtId="0" fontId="3" fillId="0" borderId="2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1" fillId="3" borderId="5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5" pivotButton="0" quotePrefix="0" xfId="0"/>
    <xf numFmtId="0" fontId="5" fillId="0" borderId="3" pivotButton="0" quotePrefix="0" xfId="0"/>
    <xf numFmtId="0" fontId="4" fillId="2" borderId="2" applyAlignment="1" pivotButton="0" quotePrefix="0" xfId="0">
      <alignment wrapText="1"/>
    </xf>
    <xf numFmtId="0" fontId="4" fillId="2" borderId="5" applyAlignment="1" pivotButton="0" quotePrefix="0" xfId="0">
      <alignment wrapText="1"/>
    </xf>
    <xf numFmtId="0" fontId="4" fillId="2" borderId="3" applyAlignment="1" pivotButton="0" quotePrefix="0" xfId="0">
      <alignment wrapText="1"/>
    </xf>
    <xf numFmtId="0" fontId="3" fillId="2" borderId="2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justify" vertical="center" wrapText="1"/>
    </xf>
    <xf numFmtId="0" fontId="3" fillId="4" borderId="5" applyAlignment="1" pivotButton="0" quotePrefix="0" xfId="0">
      <alignment horizontal="justify" vertical="center" wrapText="1"/>
    </xf>
    <xf numFmtId="0" fontId="3" fillId="4" borderId="3" applyAlignment="1" pivotButton="0" quotePrefix="0" xfId="0">
      <alignment horizontal="justify" vertical="center" wrapText="1"/>
    </xf>
    <xf numFmtId="0" fontId="5" fillId="2" borderId="2" pivotButton="0" quotePrefix="0" xfId="0"/>
    <xf numFmtId="0" fontId="5" fillId="2" borderId="5" pivotButton="0" quotePrefix="0" xfId="0"/>
    <xf numFmtId="0" fontId="5" fillId="2" borderId="3" pivotButton="0" quotePrefix="0" xfId="0"/>
    <xf numFmtId="0" fontId="8" fillId="0" borderId="2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9" fillId="0" borderId="3" applyAlignment="1" pivotButton="0" quotePrefix="0" xfId="0">
      <alignment wrapText="1"/>
    </xf>
    <xf numFmtId="0" fontId="9" fillId="2" borderId="2" applyAlignment="1" pivotButton="0" quotePrefix="0" xfId="0">
      <alignment wrapText="1"/>
    </xf>
    <xf numFmtId="0" fontId="9" fillId="2" borderId="3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justify" vertical="center" wrapText="1"/>
    </xf>
    <xf numFmtId="0" fontId="3" fillId="5" borderId="3" applyAlignment="1" pivotButton="0" quotePrefix="0" xfId="0">
      <alignment horizontal="justify" vertical="center" wrapText="1"/>
    </xf>
    <xf numFmtId="0" fontId="13" fillId="0" borderId="0" pivotButton="0" quotePrefix="0" xfId="0"/>
    <xf numFmtId="0" fontId="14" fillId="0" borderId="0" pivotButton="0" quotePrefix="0" xfId="0"/>
    <xf numFmtId="0" fontId="12" fillId="12" borderId="12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left" vertical="center" wrapText="1"/>
    </xf>
    <xf numFmtId="165" fontId="15" fillId="0" borderId="12" applyAlignment="1" pivotButton="0" quotePrefix="0" xfId="0">
      <alignment horizontal="center" vertical="center" wrapText="1"/>
    </xf>
    <xf numFmtId="4" fontId="15" fillId="0" borderId="12" applyAlignment="1" pivotButton="0" quotePrefix="0" xfId="0">
      <alignment horizontal="center" vertical="center" wrapText="1"/>
    </xf>
    <xf numFmtId="3" fontId="15" fillId="0" borderId="12" applyAlignment="1" pivotButton="0" quotePrefix="0" xfId="0">
      <alignment horizontal="center" vertical="center" wrapText="1"/>
    </xf>
    <xf numFmtId="2" fontId="15" fillId="0" borderId="12" applyAlignment="1" pivotButton="0" quotePrefix="0" xfId="0">
      <alignment horizontal="center" vertical="center" wrapText="1"/>
    </xf>
    <xf numFmtId="166" fontId="15" fillId="0" borderId="12" applyAlignment="1" pivotButton="0" quotePrefix="0" xfId="0">
      <alignment horizontal="center" vertical="center" wrapText="1"/>
    </xf>
    <xf numFmtId="167" fontId="15" fillId="0" borderId="12" applyAlignment="1" pivotButton="0" quotePrefix="0" xfId="0">
      <alignment horizontal="center" vertical="center" wrapText="1"/>
    </xf>
    <xf numFmtId="0" fontId="16" fillId="13" borderId="12" applyAlignment="1" pivotButton="0" quotePrefix="0" xfId="0">
      <alignment horizontal="right" vertical="center"/>
    </xf>
    <xf numFmtId="0" fontId="16" fillId="13" borderId="12" applyAlignment="1" pivotButton="0" quotePrefix="0" xfId="0">
      <alignment horizontal="center" vertical="center"/>
    </xf>
    <xf numFmtId="3" fontId="16" fillId="13" borderId="12" applyAlignment="1" pivotButton="0" quotePrefix="0" xfId="0">
      <alignment horizontal="center" vertical="center"/>
    </xf>
    <xf numFmtId="2" fontId="16" fillId="13" borderId="12" applyAlignment="1" pivotButton="0" quotePrefix="0" xfId="0">
      <alignment horizontal="center" vertical="center"/>
    </xf>
    <xf numFmtId="0" fontId="12" fillId="12" borderId="12" applyAlignment="1" pivotButton="0" quotePrefix="0" xfId="0">
      <alignment horizontal="right" vertical="center"/>
    </xf>
    <xf numFmtId="0" fontId="12" fillId="12" borderId="12" applyAlignment="1" pivotButton="0" quotePrefix="0" xfId="0">
      <alignment horizontal="center" vertical="center"/>
    </xf>
    <xf numFmtId="3" fontId="12" fillId="12" borderId="12" applyAlignment="1" pivotButton="0" quotePrefix="0" xfId="0">
      <alignment horizontal="center" vertical="center"/>
    </xf>
    <xf numFmtId="9" fontId="18" fillId="12" borderId="12" applyAlignment="1" pivotButton="0" quotePrefix="0" xfId="0">
      <alignment horizontal="center" vertical="center"/>
    </xf>
    <xf numFmtId="0" fontId="19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6" borderId="12" applyAlignment="1" pivotButton="0" quotePrefix="0" xfId="0">
      <alignment vertical="center" wrapText="1"/>
    </xf>
    <xf numFmtId="4" fontId="10" fillId="6" borderId="12" applyAlignment="1" pivotButton="0" quotePrefix="0" xfId="0">
      <alignment horizontal="center" vertical="center" wrapText="1"/>
    </xf>
    <xf numFmtId="3" fontId="10" fillId="6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1" fillId="3" borderId="12" applyAlignment="1" pivotButton="0" quotePrefix="0" xfId="0">
      <alignment vertical="center" wrapText="1"/>
    </xf>
    <xf numFmtId="2" fontId="4" fillId="2" borderId="12" applyAlignment="1" pivotButton="0" quotePrefix="0" xfId="0">
      <alignment horizontal="center" vertical="center" wrapText="1"/>
    </xf>
    <xf numFmtId="164" fontId="4" fillId="2" borderId="12" applyAlignment="1" pivotButton="0" quotePrefix="0" xfId="0">
      <alignment horizontal="center" vertical="center" wrapText="1"/>
    </xf>
    <xf numFmtId="164" fontId="11" fillId="2" borderId="12" applyAlignment="1" pivotButton="0" quotePrefix="0" xfId="0">
      <alignment horizontal="center" vertical="center" wrapText="1"/>
    </xf>
    <xf numFmtId="3" fontId="3" fillId="2" borderId="12" applyAlignment="1" pivotButton="0" quotePrefix="0" xfId="0">
      <alignment horizontal="center" vertical="center" wrapText="1"/>
    </xf>
    <xf numFmtId="0" fontId="3" fillId="7" borderId="12" applyAlignment="1" pivotButton="0" quotePrefix="0" xfId="0">
      <alignment vertical="center" wrapText="1"/>
    </xf>
    <xf numFmtId="0" fontId="5" fillId="2" borderId="12" applyAlignment="1" pivotButton="0" quotePrefix="0" xfId="0">
      <alignment vertical="center" wrapText="1"/>
    </xf>
    <xf numFmtId="0" fontId="3" fillId="8" borderId="12" applyAlignment="1" pivotButton="0" quotePrefix="0" xfId="0">
      <alignment vertical="center" wrapText="1"/>
    </xf>
    <xf numFmtId="0" fontId="3" fillId="9" borderId="12" applyAlignment="1" pivotButton="0" quotePrefix="0" xfId="0">
      <alignment vertical="center" wrapText="1"/>
    </xf>
    <xf numFmtId="0" fontId="3" fillId="10" borderId="12" applyAlignment="1" pivotButton="0" quotePrefix="0" xfId="0">
      <alignment vertical="center" wrapText="1"/>
    </xf>
    <xf numFmtId="0" fontId="3" fillId="11" borderId="12" applyAlignment="1" pivotButton="0" quotePrefix="0" xfId="0">
      <alignment vertical="center" wrapText="1"/>
    </xf>
    <xf numFmtId="0" fontId="12" fillId="12" borderId="12" applyAlignment="1" pivotButton="0" quotePrefix="0" xfId="0">
      <alignment vertical="center" wrapText="1"/>
    </xf>
    <xf numFmtId="4" fontId="12" fillId="1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G6" authorId="0" shapeId="0">
      <text>
        <t>Pret pachet din oferta (implementare + integrare + licenta inclusa).</t>
      </text>
    </comment>
    <comment ref="H16" authorId="0" shapeId="0">
      <text>
        <t>Cota TVA preluata din oferta (19%). Atentie: cota standard in Romania este 21% din 01.08.2025 — de verificat inainte de trimitere.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G1" authorId="0" shapeId="0">
      <text>
        <t>Efort total in zile/om = SUM(H:W). Alocarile pe roluri (text albastru) sunt inputuri editabile.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9" customWidth="1" min="4" max="4"/>
    <col width="9" customWidth="1" min="5" max="5"/>
    <col width="12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12" customWidth="1" min="12" max="12"/>
    <col width="13" customWidth="1" min="13" max="13"/>
  </cols>
  <sheetData>
    <row r="1">
      <c r="A1" s="85" t="inlineStr">
        <is>
          <t>Sumar IOF vs. Centralizator oferta</t>
        </is>
      </c>
    </row>
    <row r="2">
      <c r="A2" s="86" t="inlineStr">
        <is>
          <t>Text albastru = valori preluate din centralizatorul de oferta (input). Ore convertite la 8 ore/zi. Coloanele J–M se calculeaza din foaia IOF.</t>
        </is>
      </c>
    </row>
    <row r="4" ht="42" customHeight="1">
      <c r="A4" s="87" t="inlineStr">
        <is>
          <t>Nr.</t>
        </is>
      </c>
      <c r="B4" s="87" t="inlineStr">
        <is>
          <t>Livrabil (cod IOF)</t>
        </is>
      </c>
      <c r="C4" s="87" t="inlineStr">
        <is>
          <t>Serviciu / Licenta</t>
        </is>
      </c>
      <c r="D4" s="87" t="inlineStr">
        <is>
          <t>Cant. oferta</t>
        </is>
      </c>
      <c r="E4" s="87" t="inlineStr">
        <is>
          <t>UM</t>
        </is>
      </c>
      <c r="F4" s="87" t="inlineStr">
        <is>
          <t>Tarif unitar oferta (EUR, fara TVA)</t>
        </is>
      </c>
      <c r="G4" s="87" t="inlineStr">
        <is>
          <t>Cost total oferta (EUR, fara TVA)</t>
        </is>
      </c>
      <c r="H4" s="87" t="inlineStr">
        <is>
          <t>Zile oferta (echiv. zile/om)</t>
        </is>
      </c>
      <c r="I4" s="87" t="inlineStr">
        <is>
          <t>Tarif echivalent (EUR/zi)</t>
        </is>
      </c>
      <c r="J4" s="87" t="inlineStr">
        <is>
          <t>Zile IOF</t>
        </is>
      </c>
      <c r="K4" s="87" t="inlineStr">
        <is>
          <t>Dif. zile (IOF - oferta)</t>
        </is>
      </c>
      <c r="L4" s="87" t="inlineStr">
        <is>
          <t>Valoare IOF (EUR)</t>
        </is>
      </c>
      <c r="M4" s="87" t="inlineStr">
        <is>
          <t>Dif. valoare (IOF - oferta)</t>
        </is>
      </c>
    </row>
    <row r="5">
      <c r="A5" s="88" t="inlineStr">
        <is>
          <t>1</t>
        </is>
      </c>
      <c r="B5" s="89" t="inlineStr">
        <is>
          <t>01 Migrare server</t>
        </is>
      </c>
      <c r="C5" s="89" t="inlineStr">
        <is>
          <t>Migrare Charisma ERP pe server nou</t>
        </is>
      </c>
      <c r="D5" s="90" t="n">
        <v>5</v>
      </c>
      <c r="E5" s="88" t="inlineStr">
        <is>
          <t>zile/om</t>
        </is>
      </c>
      <c r="F5" s="91" t="n">
        <v>700</v>
      </c>
      <c r="G5" s="92">
        <f>D5*F5</f>
        <v/>
      </c>
      <c r="H5" s="93">
        <f>IF(E5="ore",D5/8,D5)</f>
        <v/>
      </c>
      <c r="I5" s="91">
        <f>IF(H5=0,0,G5/H5)</f>
        <v/>
      </c>
      <c r="J5" s="93">
        <f>SUMIF(IOF!$B:$B,B5,IOF!$G:$G)</f>
        <v/>
      </c>
      <c r="K5" s="94">
        <f>J5-H5</f>
        <v/>
      </c>
      <c r="L5" s="92">
        <f>SUMIF(IOF!$B:$B,B5,IOF!$X:$X)</f>
        <v/>
      </c>
      <c r="M5" s="95">
        <f>L5-G5</f>
        <v/>
      </c>
    </row>
    <row r="6">
      <c r="A6" s="88" t="inlineStr">
        <is>
          <t>2</t>
        </is>
      </c>
      <c r="B6" s="89" t="inlineStr">
        <is>
          <t>02 Portal Furnizori</t>
        </is>
      </c>
      <c r="C6" s="89" t="inlineStr">
        <is>
          <t>Portal Furnizori — Achizitii si Licitatii (Charisma BIZ)</t>
        </is>
      </c>
      <c r="D6" s="90" t="n">
        <v>35</v>
      </c>
      <c r="E6" s="88" t="inlineStr">
        <is>
          <t>zile/om</t>
        </is>
      </c>
      <c r="F6" s="91" t="inlineStr">
        <is>
          <t>—</t>
        </is>
      </c>
      <c r="G6" s="92" t="n">
        <v>24850</v>
      </c>
      <c r="H6" s="93">
        <f>IF(E6="ore",D6/8,D6)</f>
        <v/>
      </c>
      <c r="I6" s="91">
        <f>IF(H6=0,0,G6/H6)</f>
        <v/>
      </c>
      <c r="J6" s="93">
        <f>SUMIF(IOF!$B:$B,B6,IOF!$G:$G)</f>
        <v/>
      </c>
      <c r="K6" s="94">
        <f>J6-H6</f>
        <v/>
      </c>
      <c r="L6" s="92">
        <f>SUMIF(IOF!$B:$B,B6,IOF!$X:$X)</f>
        <v/>
      </c>
      <c r="M6" s="95">
        <f>L6-G6</f>
        <v/>
      </c>
    </row>
    <row r="7">
      <c r="A7" s="88" t="inlineStr">
        <is>
          <t>3a</t>
        </is>
      </c>
      <c r="B7" s="89" t="inlineStr">
        <is>
          <t>03a Invictus Sc.1</t>
        </is>
      </c>
      <c r="C7" s="89" t="inlineStr">
        <is>
          <t>Integrare API Invictus Normare &lt;-&gt; Productie Charisma — Scenariul 1 (de baza, fara Planificare)</t>
        </is>
      </c>
      <c r="D7" s="90" t="n">
        <v>168</v>
      </c>
      <c r="E7" s="88" t="inlineStr">
        <is>
          <t>ore</t>
        </is>
      </c>
      <c r="F7" s="91" t="n">
        <v>87.5</v>
      </c>
      <c r="G7" s="92">
        <f>D7*F7</f>
        <v/>
      </c>
      <c r="H7" s="93">
        <f>IF(E7="ore",D7/8,D7)</f>
        <v/>
      </c>
      <c r="I7" s="91">
        <f>IF(H7=0,0,G7/H7)</f>
        <v/>
      </c>
      <c r="J7" s="93">
        <f>SUMIF(IOF!$B:$B,B7,IOF!$G:$G)</f>
        <v/>
      </c>
      <c r="K7" s="94">
        <f>J7-H7</f>
        <v/>
      </c>
      <c r="L7" s="92">
        <f>SUMIF(IOF!$B:$B,B7,IOF!$X:$X)</f>
        <v/>
      </c>
      <c r="M7" s="95">
        <f>L7-G7</f>
        <v/>
      </c>
    </row>
    <row r="8">
      <c r="A8" s="88" t="inlineStr">
        <is>
          <t>3b</t>
        </is>
      </c>
      <c r="B8" s="89" t="inlineStr">
        <is>
          <t>03b Invictus Planificare</t>
        </is>
      </c>
      <c r="C8" s="89" t="inlineStr">
        <is>
          <t>Integrare API Invictus — Supliment Scenariul 2 (Modul Planificare)</t>
        </is>
      </c>
      <c r="D8" s="90" t="n">
        <v>64</v>
      </c>
      <c r="E8" s="88" t="inlineStr">
        <is>
          <t>ore</t>
        </is>
      </c>
      <c r="F8" s="91" t="n">
        <v>87.5</v>
      </c>
      <c r="G8" s="92">
        <f>D8*F8</f>
        <v/>
      </c>
      <c r="H8" s="93">
        <f>IF(E8="ore",D8/8,D8)</f>
        <v/>
      </c>
      <c r="I8" s="91">
        <f>IF(H8=0,0,G8/H8)</f>
        <v/>
      </c>
      <c r="J8" s="93">
        <f>SUMIF(IOF!$B:$B,B8,IOF!$G:$G)</f>
        <v/>
      </c>
      <c r="K8" s="94">
        <f>J8-H8</f>
        <v/>
      </c>
      <c r="L8" s="92">
        <f>SUMIF(IOF!$B:$B,B8,IOF!$X:$X)</f>
        <v/>
      </c>
      <c r="M8" s="95">
        <f>L8-G8</f>
        <v/>
      </c>
    </row>
    <row r="9">
      <c r="A9" s="88" t="inlineStr">
        <is>
          <t>4</t>
        </is>
      </c>
      <c r="B9" s="89" t="inlineStr">
        <is>
          <t>04 Payroll</t>
        </is>
      </c>
      <c r="C9" s="89" t="inlineStr">
        <is>
          <t>Integrare Date Salarizare / Bonuri de Masa -&gt; Payroll Charisma</t>
        </is>
      </c>
      <c r="D9" s="90" t="n">
        <v>130</v>
      </c>
      <c r="E9" s="88" t="inlineStr">
        <is>
          <t>ore</t>
        </is>
      </c>
      <c r="F9" s="91" t="n">
        <v>80</v>
      </c>
      <c r="G9" s="92">
        <f>D9*F9</f>
        <v/>
      </c>
      <c r="H9" s="93">
        <f>IF(E9="ore",D9/8,D9)</f>
        <v/>
      </c>
      <c r="I9" s="91">
        <f>IF(H9=0,0,G9/H9)</f>
        <v/>
      </c>
      <c r="J9" s="93">
        <f>SUMIF(IOF!$B:$B,B9,IOF!$G:$G)</f>
        <v/>
      </c>
      <c r="K9" s="94">
        <f>J9-H9</f>
        <v/>
      </c>
      <c r="L9" s="92">
        <f>SUMIF(IOF!$B:$B,B9,IOF!$X:$X)</f>
        <v/>
      </c>
      <c r="M9" s="95">
        <f>L9-G9</f>
        <v/>
      </c>
    </row>
    <row r="10">
      <c r="A10" s="88" t="inlineStr">
        <is>
          <t>5</t>
        </is>
      </c>
      <c r="B10" s="89" t="inlineStr">
        <is>
          <t>05 Etichete</t>
        </is>
      </c>
      <c r="C10" s="89" t="inlineStr">
        <is>
          <t>Generare si Transfer Automat Etichete per Lansare de Productie</t>
        </is>
      </c>
      <c r="D10" s="90" t="n">
        <v>20</v>
      </c>
      <c r="E10" s="88" t="inlineStr">
        <is>
          <t>zile/om</t>
        </is>
      </c>
      <c r="F10" s="91" t="n">
        <v>700</v>
      </c>
      <c r="G10" s="92">
        <f>D10*F10</f>
        <v/>
      </c>
      <c r="H10" s="93">
        <f>IF(E10="ore",D10/8,D10)</f>
        <v/>
      </c>
      <c r="I10" s="91">
        <f>IF(H10=0,0,G10/H10)</f>
        <v/>
      </c>
      <c r="J10" s="93">
        <f>SUMIF(IOF!$B:$B,B10,IOF!$G:$G)</f>
        <v/>
      </c>
      <c r="K10" s="94">
        <f>J10-H10</f>
        <v/>
      </c>
      <c r="L10" s="92">
        <f>SUMIF(IOF!$B:$B,B10,IOF!$X:$X)</f>
        <v/>
      </c>
      <c r="M10" s="95">
        <f>L10-G10</f>
        <v/>
      </c>
    </row>
    <row r="11">
      <c r="A11" s="88" t="inlineStr">
        <is>
          <t>6</t>
        </is>
      </c>
      <c r="B11" s="89" t="inlineStr">
        <is>
          <t>06 PLM</t>
        </is>
      </c>
      <c r="C11" s="89" t="inlineStr">
        <is>
          <t>Integrare Aplicatie PLM externa &lt;-&gt; Charisma ERP</t>
        </is>
      </c>
      <c r="D11" s="90" t="n">
        <v>16</v>
      </c>
      <c r="E11" s="88" t="inlineStr">
        <is>
          <t>zile/om</t>
        </is>
      </c>
      <c r="F11" s="91" t="n">
        <v>700</v>
      </c>
      <c r="G11" s="92">
        <f>D11*F11</f>
        <v/>
      </c>
      <c r="H11" s="93">
        <f>IF(E11="ore",D11/8,D11)</f>
        <v/>
      </c>
      <c r="I11" s="91">
        <f>IF(H11=0,0,G11/H11)</f>
        <v/>
      </c>
      <c r="J11" s="93">
        <f>SUMIF(IOF!$B:$B,B11,IOF!$G:$G)</f>
        <v/>
      </c>
      <c r="K11" s="94">
        <f>J11-H11</f>
        <v/>
      </c>
      <c r="L11" s="92">
        <f>SUMIF(IOF!$B:$B,B11,IOF!$X:$X)</f>
        <v/>
      </c>
      <c r="M11" s="95">
        <f>L11-G11</f>
        <v/>
      </c>
    </row>
    <row r="12">
      <c r="A12" s="88" t="inlineStr">
        <is>
          <t>7</t>
        </is>
      </c>
      <c r="B12" s="89" t="inlineStr">
        <is>
          <t>07 Magento</t>
        </is>
      </c>
      <c r="C12" s="89" t="inlineStr">
        <is>
          <t>Integrare API Magento &lt;-&gt; Stocuri / Vanzari Charisma ERP</t>
        </is>
      </c>
      <c r="D12" s="90" t="n">
        <v>28</v>
      </c>
      <c r="E12" s="88" t="inlineStr">
        <is>
          <t>zile/om</t>
        </is>
      </c>
      <c r="F12" s="91" t="n">
        <v>700</v>
      </c>
      <c r="G12" s="92">
        <f>D12*F12</f>
        <v/>
      </c>
      <c r="H12" s="93">
        <f>IF(E12="ore",D12/8,D12)</f>
        <v/>
      </c>
      <c r="I12" s="91">
        <f>IF(H12=0,0,G12/H12)</f>
        <v/>
      </c>
      <c r="J12" s="93">
        <f>SUMIF(IOF!$B:$B,B12,IOF!$G:$G)</f>
        <v/>
      </c>
      <c r="K12" s="94">
        <f>J12-H12</f>
        <v/>
      </c>
      <c r="L12" s="92">
        <f>SUMIF(IOF!$B:$B,B12,IOF!$X:$X)</f>
        <v/>
      </c>
      <c r="M12" s="95">
        <f>L12-G12</f>
        <v/>
      </c>
    </row>
    <row r="13">
      <c r="A13" s="96" t="inlineStr">
        <is>
          <t>Subtotal servicii — Poz. 1, 2, 3a, 4, 5, 6, 7 (Sc.1 fara Planificare):</t>
        </is>
      </c>
      <c r="B13" s="97" t="n"/>
      <c r="C13" s="97" t="n"/>
      <c r="D13" s="97" t="n"/>
      <c r="E13" s="97" t="n"/>
      <c r="F13" s="97" t="n"/>
      <c r="G13" s="98">
        <f>SUM(G5:G12)-G8</f>
        <v/>
      </c>
      <c r="H13" s="99">
        <f>SUM(H5:H12)-H8</f>
        <v/>
      </c>
      <c r="I13" s="97" t="n"/>
      <c r="J13" s="99">
        <f>SUM(J5:J12)-J8</f>
        <v/>
      </c>
      <c r="K13" s="97" t="n"/>
      <c r="L13" s="98">
        <f>SUM(L5:L12)-L8</f>
        <v/>
      </c>
      <c r="M13" s="97" t="n"/>
    </row>
    <row r="14">
      <c r="A14" s="96" t="inlineStr">
        <is>
          <t>Subtotal servicii — Poz. 1, 2, 3a+3b, 4, 5, 6, 7 (Sc.2 complet, recomandat):</t>
        </is>
      </c>
      <c r="B14" s="97" t="n"/>
      <c r="C14" s="97" t="n"/>
      <c r="D14" s="97" t="n"/>
      <c r="E14" s="97" t="n"/>
      <c r="F14" s="97" t="n"/>
      <c r="G14" s="98">
        <f>SUM(G5:G12)</f>
        <v/>
      </c>
      <c r="H14" s="99">
        <f>SUM(H5:H12)</f>
        <v/>
      </c>
      <c r="I14" s="97" t="n"/>
      <c r="J14" s="99">
        <f>SUM(J5:J12)</f>
        <v/>
      </c>
      <c r="K14" s="97" t="n"/>
      <c r="L14" s="98">
        <f>SUM(L5:L12)</f>
        <v/>
      </c>
      <c r="M14" s="97" t="n"/>
    </row>
    <row r="15">
      <c r="A15" s="100" t="inlineStr">
        <is>
          <t>TOTAL GENERAL — Scenariul 2 complet (fara TVA):</t>
        </is>
      </c>
      <c r="B15" s="101" t="n"/>
      <c r="C15" s="101" t="n"/>
      <c r="D15" s="101" t="n"/>
      <c r="E15" s="101" t="n"/>
      <c r="F15" s="101" t="n"/>
      <c r="G15" s="102">
        <f>G14</f>
        <v/>
      </c>
      <c r="H15" s="101" t="n"/>
      <c r="I15" s="101" t="n"/>
      <c r="J15" s="101" t="n"/>
      <c r="K15" s="101" t="n"/>
      <c r="L15" s="102">
        <f>L14</f>
        <v/>
      </c>
      <c r="M15" s="101" t="n"/>
    </row>
    <row r="16">
      <c r="A16" s="100" t="inlineStr">
        <is>
          <t>TVA (cota in H16):</t>
        </is>
      </c>
      <c r="B16" s="101" t="n"/>
      <c r="C16" s="101" t="n"/>
      <c r="D16" s="101" t="n"/>
      <c r="E16" s="101" t="n"/>
      <c r="F16" s="101" t="n"/>
      <c r="G16" s="102">
        <f>ROUND(G15*H16,0)</f>
        <v/>
      </c>
      <c r="H16" s="103" t="n">
        <v>0.19</v>
      </c>
      <c r="I16" s="101" t="n"/>
      <c r="J16" s="101" t="n"/>
      <c r="K16" s="101" t="n"/>
      <c r="L16" s="102">
        <f>ROUND(L15*H16,0)</f>
        <v/>
      </c>
      <c r="M16" s="101" t="n"/>
    </row>
    <row r="17">
      <c r="A17" s="100" t="inlineStr">
        <is>
          <t>TOTAL GENERAL — Scenariul 2 complet (cu TVA):</t>
        </is>
      </c>
      <c r="B17" s="101" t="n"/>
      <c r="C17" s="101" t="n"/>
      <c r="D17" s="101" t="n"/>
      <c r="E17" s="101" t="n"/>
      <c r="F17" s="101" t="n"/>
      <c r="G17" s="102">
        <f>G15+G16</f>
        <v/>
      </c>
      <c r="H17" s="101" t="n"/>
      <c r="I17" s="101" t="n"/>
      <c r="J17" s="101" t="n"/>
      <c r="K17" s="101" t="n"/>
      <c r="L17" s="102">
        <f>L15+L16</f>
        <v/>
      </c>
      <c r="M17" s="101" t="n"/>
    </row>
    <row r="19">
      <c r="A19" s="104" t="inlineStr">
        <is>
          <t>Control IOF: total zile foaia IOF (rand total general) =</t>
        </is>
      </c>
      <c r="J19" s="105">
        <f>IOF!G87</f>
        <v/>
      </c>
      <c r="K19" s="106">
        <f>J19-J14</f>
        <v/>
      </c>
    </row>
  </sheetData>
  <mergeCells count="5">
    <mergeCell ref="A16:F16"/>
    <mergeCell ref="A13:F13"/>
    <mergeCell ref="A14:F14"/>
    <mergeCell ref="A17:F17"/>
    <mergeCell ref="A15:F1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7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E4" sqref="E4"/>
    </sheetView>
  </sheetViews>
  <sheetFormatPr baseColWidth="8" defaultRowHeight="14.4"/>
  <cols>
    <col width="18" customWidth="1" min="1" max="1"/>
    <col width="16" customWidth="1" min="2" max="2"/>
    <col width="8" customWidth="1" min="3" max="3"/>
    <col width="60" bestFit="1" customWidth="1" min="4" max="4"/>
    <col width="18" customWidth="1" min="6" max="6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12" customWidth="1" min="24" max="24"/>
    <col width="16" customWidth="1" min="25" max="25"/>
    <col width="40" customWidth="1" min="26" max="26"/>
  </cols>
  <sheetData>
    <row r="1" ht="27.6" customHeight="1">
      <c r="A1" s="24" t="inlineStr">
        <is>
          <t>Project plan</t>
        </is>
      </c>
      <c r="B1" s="107" t="inlineStr">
        <is>
          <t>Product</t>
        </is>
      </c>
      <c r="C1" s="24" t="inlineStr">
        <is>
          <t>WBS ID</t>
        </is>
      </c>
      <c r="D1" s="24" t="inlineStr">
        <is>
          <t>Activity</t>
        </is>
      </c>
      <c r="E1" s="24" t="inlineStr">
        <is>
          <t>Business Unit</t>
        </is>
      </c>
      <c r="F1" s="108" t="inlineStr">
        <is>
          <t>Licente (module + utilizatori)</t>
        </is>
      </c>
      <c r="G1" s="108" t="inlineStr">
        <is>
          <t>Effort</t>
        </is>
      </c>
      <c r="H1" s="109" t="inlineStr">
        <is>
          <t>Executive Director</t>
        </is>
      </c>
      <c r="I1" s="109" t="inlineStr">
        <is>
          <t>Integration PM</t>
        </is>
      </c>
      <c r="J1" s="109" t="inlineStr">
        <is>
          <t>Solution Manager</t>
        </is>
      </c>
      <c r="K1" s="109" t="inlineStr">
        <is>
          <t>BU Director</t>
        </is>
      </c>
      <c r="L1" s="109" t="inlineStr">
        <is>
          <t>Manager</t>
        </is>
      </c>
      <c r="M1" s="109" t="inlineStr">
        <is>
          <t>PM</t>
        </is>
      </c>
      <c r="N1" s="109" t="inlineStr">
        <is>
          <t>SR_BC</t>
        </is>
      </c>
      <c r="O1" s="109" t="inlineStr">
        <is>
          <t>EXP_BC</t>
        </is>
      </c>
      <c r="P1" s="109" t="inlineStr">
        <is>
          <t>JR_BC</t>
        </is>
      </c>
      <c r="Q1" s="109" t="inlineStr">
        <is>
          <t>SR_TC</t>
        </is>
      </c>
      <c r="R1" s="109" t="inlineStr">
        <is>
          <t>EXP_TC</t>
        </is>
      </c>
      <c r="S1" s="109" t="inlineStr">
        <is>
          <t>JR_TC</t>
        </is>
      </c>
      <c r="T1" s="109" t="inlineStr">
        <is>
          <t>TRA</t>
        </is>
      </c>
      <c r="U1" s="109" t="inlineStr">
        <is>
          <t>DEV</t>
        </is>
      </c>
      <c r="V1" s="109" t="inlineStr">
        <is>
          <t>Code factory DEV</t>
        </is>
      </c>
      <c r="W1" s="110" t="inlineStr">
        <is>
          <t>3rd Party</t>
        </is>
      </c>
      <c r="X1" s="38" t="inlineStr">
        <is>
          <t>Valoare proiect</t>
        </is>
      </c>
      <c r="Y1" s="109" t="inlineStr">
        <is>
          <t>Project plan ERP</t>
        </is>
      </c>
      <c r="Z1" s="109" t="inlineStr">
        <is>
          <t>Observatii</t>
        </is>
      </c>
    </row>
    <row r="2" ht="27.6" customHeight="1">
      <c r="A2" s="111" t="n"/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1" t="n"/>
      <c r="R2" s="111" t="n"/>
      <c r="S2" s="111" t="n"/>
      <c r="T2" s="111" t="n"/>
      <c r="U2" s="111" t="n"/>
      <c r="V2" s="111" t="n"/>
      <c r="W2" s="111" t="n"/>
      <c r="X2" s="39" t="inlineStr">
        <is>
          <t xml:space="preserve">(EURO fara TVA) </t>
        </is>
      </c>
      <c r="Y2" s="111" t="n"/>
      <c r="Z2" s="111" t="n"/>
    </row>
    <row r="3">
      <c r="A3" s="112" t="inlineStr">
        <is>
          <t>Livrabil</t>
        </is>
      </c>
      <c r="B3" s="112" t="inlineStr">
        <is>
          <t>01 Migrare server (total)</t>
        </is>
      </c>
      <c r="C3" s="112" t="inlineStr">
        <is>
          <t>01</t>
        </is>
      </c>
      <c r="D3" s="112" t="inlineStr">
        <is>
          <t>1. Migrare Charisma ERP pe server nou</t>
        </is>
      </c>
      <c r="E3" s="112" t="n"/>
      <c r="F3" s="112" t="n"/>
      <c r="G3" s="113">
        <f>SUBTOTAL(9,G4:G9)</f>
        <v/>
      </c>
      <c r="H3" s="113">
        <f>SUBTOTAL(9,H4:H9)</f>
        <v/>
      </c>
      <c r="I3" s="113">
        <f>SUBTOTAL(9,I4:I9)</f>
        <v/>
      </c>
      <c r="J3" s="113">
        <f>SUBTOTAL(9,J4:J9)</f>
        <v/>
      </c>
      <c r="K3" s="113">
        <f>SUBTOTAL(9,K4:K9)</f>
        <v/>
      </c>
      <c r="L3" s="113">
        <f>SUBTOTAL(9,L4:L9)</f>
        <v/>
      </c>
      <c r="M3" s="113">
        <f>SUBTOTAL(9,M4:M9)</f>
        <v/>
      </c>
      <c r="N3" s="113">
        <f>SUBTOTAL(9,N4:N9)</f>
        <v/>
      </c>
      <c r="O3" s="113">
        <f>SUBTOTAL(9,O4:O9)</f>
        <v/>
      </c>
      <c r="P3" s="113">
        <f>SUBTOTAL(9,P4:P9)</f>
        <v/>
      </c>
      <c r="Q3" s="113">
        <f>SUBTOTAL(9,Q4:Q9)</f>
        <v/>
      </c>
      <c r="R3" s="113">
        <f>SUBTOTAL(9,R4:R9)</f>
        <v/>
      </c>
      <c r="S3" s="113">
        <f>SUBTOTAL(9,S4:S9)</f>
        <v/>
      </c>
      <c r="T3" s="113">
        <f>SUBTOTAL(9,T4:T9)</f>
        <v/>
      </c>
      <c r="U3" s="113">
        <f>SUBTOTAL(9,U4:U9)</f>
        <v/>
      </c>
      <c r="V3" s="113">
        <f>SUBTOTAL(9,V4:V9)</f>
        <v/>
      </c>
      <c r="W3" s="113">
        <f>SUBTOTAL(9,W4:W9)</f>
        <v/>
      </c>
      <c r="X3" s="114">
        <f>SUBTOTAL(9,X4:X9)</f>
        <v/>
      </c>
      <c r="Y3" s="112" t="n"/>
      <c r="Z3" s="112" t="inlineStr">
        <is>
          <t>Oferta: 5 zile/om x 700 EUR/zi</t>
        </is>
      </c>
    </row>
    <row r="4">
      <c r="A4" s="115" t="inlineStr">
        <is>
          <t>0.Project Management</t>
        </is>
      </c>
      <c r="B4" s="116" t="inlineStr">
        <is>
          <t>01 Migrare server</t>
        </is>
      </c>
      <c r="C4" s="117" t="inlineStr">
        <is>
          <t>01.01</t>
        </is>
      </c>
      <c r="D4" s="117" t="inlineStr">
        <is>
          <t>Kick-off, planificare fereastra de migrare, coordonare cu IT client</t>
        </is>
      </c>
      <c r="E4" s="117" t="n"/>
      <c r="F4" s="118" t="n"/>
      <c r="G4" s="119">
        <f>SUM(H4:W4)</f>
        <v/>
      </c>
      <c r="H4" s="120" t="n"/>
      <c r="I4" s="120" t="n"/>
      <c r="J4" s="120" t="n"/>
      <c r="K4" s="120" t="n"/>
      <c r="L4" s="120" t="n"/>
      <c r="M4" s="121" t="n">
        <v>0.5</v>
      </c>
      <c r="N4" s="120" t="n"/>
      <c r="O4" s="120" t="n"/>
      <c r="P4" s="120" t="n"/>
      <c r="Q4" s="120" t="n"/>
      <c r="R4" s="120" t="n"/>
      <c r="S4" s="120" t="n"/>
      <c r="T4" s="120" t="n"/>
      <c r="U4" s="120" t="n"/>
      <c r="V4" s="120" t="n"/>
      <c r="W4" s="120" t="n"/>
      <c r="X4" s="122">
        <f>G4*Sumar!$I$5</f>
        <v/>
      </c>
      <c r="Y4" s="123" t="inlineStr">
        <is>
          <t>1.Project Setup</t>
        </is>
      </c>
      <c r="Z4" s="124" t="n"/>
    </row>
    <row r="5">
      <c r="A5" s="115" t="inlineStr">
        <is>
          <t>1.Design</t>
        </is>
      </c>
      <c r="B5" s="116" t="inlineStr">
        <is>
          <t>01 Migrare server</t>
        </is>
      </c>
      <c r="C5" s="117" t="inlineStr">
        <is>
          <t>01.02</t>
        </is>
      </c>
      <c r="D5" s="117" t="inlineStr">
        <is>
          <t>Analiza infrastructura existenta si cerinte server nou (OS, SQL Server, dimensionare, backup)</t>
        </is>
      </c>
      <c r="E5" s="117" t="n"/>
      <c r="F5" s="118" t="n"/>
      <c r="G5" s="119">
        <f>SUM(H5:W5)</f>
        <v/>
      </c>
      <c r="H5" s="120" t="n"/>
      <c r="I5" s="120" t="n"/>
      <c r="J5" s="120" t="n"/>
      <c r="K5" s="120" t="n"/>
      <c r="L5" s="120" t="n"/>
      <c r="M5" s="120" t="n"/>
      <c r="N5" s="120" t="n"/>
      <c r="O5" s="120" t="n"/>
      <c r="P5" s="120" t="n"/>
      <c r="Q5" s="121" t="n">
        <v>0.5</v>
      </c>
      <c r="R5" s="120" t="n"/>
      <c r="S5" s="120" t="n"/>
      <c r="T5" s="120" t="n"/>
      <c r="U5" s="120" t="n"/>
      <c r="V5" s="120" t="n"/>
      <c r="W5" s="120" t="n"/>
      <c r="X5" s="122">
        <f>G5*Sumar!$I$5</f>
        <v/>
      </c>
      <c r="Y5" s="125" t="inlineStr">
        <is>
          <t>2.Analysis and Design</t>
        </is>
      </c>
      <c r="Z5" s="124" t="n"/>
    </row>
    <row r="6">
      <c r="A6" s="115" t="inlineStr">
        <is>
          <t>4.Instalare</t>
        </is>
      </c>
      <c r="B6" s="116" t="inlineStr">
        <is>
          <t>01 Migrare server</t>
        </is>
      </c>
      <c r="C6" s="117" t="inlineStr">
        <is>
          <t>01.03</t>
        </is>
      </c>
      <c r="D6" s="117" t="inlineStr">
        <is>
          <t>Instalare si configurare Charisma pe serverul nou (aplicatie, componente, servicii, licente)</t>
        </is>
      </c>
      <c r="E6" s="117" t="n"/>
      <c r="F6" s="118" t="n"/>
      <c r="G6" s="119">
        <f>SUM(H6:W6)</f>
        <v/>
      </c>
      <c r="H6" s="120" t="n"/>
      <c r="I6" s="120" t="n"/>
      <c r="J6" s="120" t="n"/>
      <c r="K6" s="120" t="n"/>
      <c r="L6" s="120" t="n"/>
      <c r="M6" s="120" t="n"/>
      <c r="N6" s="120" t="n"/>
      <c r="O6" s="120" t="n"/>
      <c r="P6" s="120" t="n"/>
      <c r="Q6" s="121" t="n">
        <v>1</v>
      </c>
      <c r="R6" s="121" t="n">
        <v>0.5</v>
      </c>
      <c r="S6" s="120" t="n"/>
      <c r="T6" s="120" t="n"/>
      <c r="U6" s="120" t="n"/>
      <c r="V6" s="120" t="n"/>
      <c r="W6" s="120" t="n"/>
      <c r="X6" s="122">
        <f>G6*Sumar!$I$5</f>
        <v/>
      </c>
      <c r="Y6" s="123" t="inlineStr">
        <is>
          <t>1.Project Setup</t>
        </is>
      </c>
      <c r="Z6" s="124" t="n"/>
    </row>
    <row r="7">
      <c r="A7" s="115" t="inlineStr">
        <is>
          <t>3.Import date</t>
        </is>
      </c>
      <c r="B7" s="116" t="inlineStr">
        <is>
          <t>01 Migrare server</t>
        </is>
      </c>
      <c r="C7" s="117" t="inlineStr">
        <is>
          <t>01.04</t>
        </is>
      </c>
      <c r="D7" s="117" t="inlineStr">
        <is>
          <t>Migrare baze de date, job-uri, rapoarte, fisiere de configurare si integrari existente</t>
        </is>
      </c>
      <c r="E7" s="117" t="n"/>
      <c r="F7" s="118" t="n"/>
      <c r="G7" s="119">
        <f>SUM(H7:W7)</f>
        <v/>
      </c>
      <c r="H7" s="120" t="n"/>
      <c r="I7" s="120" t="n"/>
      <c r="J7" s="120" t="n"/>
      <c r="K7" s="120" t="n"/>
      <c r="L7" s="120" t="n"/>
      <c r="M7" s="120" t="n"/>
      <c r="N7" s="120" t="n"/>
      <c r="O7" s="120" t="n"/>
      <c r="P7" s="120" t="n"/>
      <c r="Q7" s="121" t="n">
        <v>1</v>
      </c>
      <c r="R7" s="120" t="n"/>
      <c r="S7" s="120" t="n"/>
      <c r="T7" s="120" t="n"/>
      <c r="U7" s="120" t="n"/>
      <c r="V7" s="120" t="n"/>
      <c r="W7" s="120" t="n"/>
      <c r="X7" s="122">
        <f>G7*Sumar!$I$5</f>
        <v/>
      </c>
      <c r="Y7" s="126" t="inlineStr">
        <is>
          <t>3.Build</t>
        </is>
      </c>
      <c r="Z7" s="124" t="n"/>
    </row>
    <row r="8">
      <c r="A8" s="115" t="inlineStr">
        <is>
          <t>6.Testare</t>
        </is>
      </c>
      <c r="B8" s="116" t="inlineStr">
        <is>
          <t>01 Migrare server</t>
        </is>
      </c>
      <c r="C8" s="117" t="inlineStr">
        <is>
          <t>01.05</t>
        </is>
      </c>
      <c r="D8" s="117" t="inlineStr">
        <is>
          <t>Testare post-migrare (conexiuni, performanta, fluxuri cheie, rapoarte)</t>
        </is>
      </c>
      <c r="E8" s="117" t="n"/>
      <c r="F8" s="118" t="n"/>
      <c r="G8" s="119">
        <f>SUM(H8:W8)</f>
        <v/>
      </c>
      <c r="H8" s="120" t="n"/>
      <c r="I8" s="120" t="n"/>
      <c r="J8" s="120" t="n"/>
      <c r="K8" s="120" t="n"/>
      <c r="L8" s="120" t="n"/>
      <c r="M8" s="120" t="n"/>
      <c r="N8" s="120" t="n"/>
      <c r="O8" s="121" t="n">
        <v>0.5</v>
      </c>
      <c r="P8" s="120" t="n"/>
      <c r="Q8" s="120" t="n"/>
      <c r="R8" s="121" t="n">
        <v>0.5</v>
      </c>
      <c r="S8" s="120" t="n"/>
      <c r="T8" s="120" t="n"/>
      <c r="U8" s="120" t="n"/>
      <c r="V8" s="120" t="n"/>
      <c r="W8" s="120" t="n"/>
      <c r="X8" s="122">
        <f>G8*Sumar!$I$5</f>
        <v/>
      </c>
      <c r="Y8" s="127" t="inlineStr">
        <is>
          <t>4.Test &amp; Training</t>
        </is>
      </c>
      <c r="Z8" s="124" t="n"/>
    </row>
    <row r="9">
      <c r="A9" s="115" t="inlineStr">
        <is>
          <t>7.Intrare in productie</t>
        </is>
      </c>
      <c r="B9" s="116" t="inlineStr">
        <is>
          <t>01 Migrare server</t>
        </is>
      </c>
      <c r="C9" s="117" t="inlineStr">
        <is>
          <t>01.06</t>
        </is>
      </c>
      <c r="D9" s="117" t="inlineStr">
        <is>
          <t>Switch-over pe serverul nou si suport in prima zi de lucru</t>
        </is>
      </c>
      <c r="E9" s="117" t="n"/>
      <c r="F9" s="118" t="n"/>
      <c r="G9" s="119">
        <f>SUM(H9:W9)</f>
        <v/>
      </c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1" t="n">
        <v>0.5</v>
      </c>
      <c r="R9" s="120" t="n"/>
      <c r="S9" s="120" t="n"/>
      <c r="T9" s="120" t="n"/>
      <c r="U9" s="120" t="n"/>
      <c r="V9" s="120" t="n"/>
      <c r="W9" s="120" t="n"/>
      <c r="X9" s="122">
        <f>G9*Sumar!$I$5</f>
        <v/>
      </c>
      <c r="Y9" s="128" t="inlineStr">
        <is>
          <t>5.Go-Live &amp; Hypercare</t>
        </is>
      </c>
      <c r="Z9" s="124" t="n"/>
    </row>
    <row r="10">
      <c r="A10" s="112" t="inlineStr">
        <is>
          <t>Livrabil</t>
        </is>
      </c>
      <c r="B10" s="112" t="inlineStr">
        <is>
          <t>02 Portal Furnizori (total)</t>
        </is>
      </c>
      <c r="C10" s="112" t="inlineStr">
        <is>
          <t>02</t>
        </is>
      </c>
      <c r="D10" s="112" t="inlineStr">
        <is>
          <t>2. Portal Furnizori — Achizitii si Licitatii (Charisma BIZ)</t>
        </is>
      </c>
      <c r="E10" s="112" t="n"/>
      <c r="F10" s="112" t="inlineStr">
        <is>
          <t>Charisma BIZ — Portal Furnizori (licenta inclusa in pret)</t>
        </is>
      </c>
      <c r="G10" s="113">
        <f>SUBTOTAL(9,G11:G23)</f>
        <v/>
      </c>
      <c r="H10" s="113">
        <f>SUBTOTAL(9,H11:H23)</f>
        <v/>
      </c>
      <c r="I10" s="113">
        <f>SUBTOTAL(9,I11:I23)</f>
        <v/>
      </c>
      <c r="J10" s="113">
        <f>SUBTOTAL(9,J11:J23)</f>
        <v/>
      </c>
      <c r="K10" s="113">
        <f>SUBTOTAL(9,K11:K23)</f>
        <v/>
      </c>
      <c r="L10" s="113">
        <f>SUBTOTAL(9,L11:L23)</f>
        <v/>
      </c>
      <c r="M10" s="113">
        <f>SUBTOTAL(9,M11:M23)</f>
        <v/>
      </c>
      <c r="N10" s="113">
        <f>SUBTOTAL(9,N11:N23)</f>
        <v/>
      </c>
      <c r="O10" s="113">
        <f>SUBTOTAL(9,O11:O23)</f>
        <v/>
      </c>
      <c r="P10" s="113">
        <f>SUBTOTAL(9,P11:P23)</f>
        <v/>
      </c>
      <c r="Q10" s="113">
        <f>SUBTOTAL(9,Q11:Q23)</f>
        <v/>
      </c>
      <c r="R10" s="113">
        <f>SUBTOTAL(9,R11:R23)</f>
        <v/>
      </c>
      <c r="S10" s="113">
        <f>SUBTOTAL(9,S11:S23)</f>
        <v/>
      </c>
      <c r="T10" s="113">
        <f>SUBTOTAL(9,T11:T23)</f>
        <v/>
      </c>
      <c r="U10" s="113">
        <f>SUBTOTAL(9,U11:U23)</f>
        <v/>
      </c>
      <c r="V10" s="113">
        <f>SUBTOTAL(9,V11:V23)</f>
        <v/>
      </c>
      <c r="W10" s="113">
        <f>SUBTOTAL(9,W11:W23)</f>
        <v/>
      </c>
      <c r="X10" s="114">
        <f>SUBTOTAL(9,X11:X23)</f>
        <v/>
      </c>
      <c r="Y10" s="112" t="n"/>
      <c r="Z10" s="112" t="inlineStr">
        <is>
          <t>Oferta: 35 zile/om, pret pachet 24.850 EUR (implementare completa + integrare ERP, licenta inclusa)</t>
        </is>
      </c>
    </row>
    <row r="11">
      <c r="A11" s="115" t="inlineStr">
        <is>
          <t>0.Project Management</t>
        </is>
      </c>
      <c r="B11" s="116" t="inlineStr">
        <is>
          <t>02 Portal Furnizori</t>
        </is>
      </c>
      <c r="C11" s="117" t="inlineStr">
        <is>
          <t>02.01</t>
        </is>
      </c>
      <c r="D11" s="117" t="inlineStr">
        <is>
          <t>Kick-off, plan proiect, status reports, project charter</t>
        </is>
      </c>
      <c r="E11" s="117" t="n"/>
      <c r="F11" s="118" t="n"/>
      <c r="G11" s="119">
        <f>SUM(H11:W11)</f>
        <v/>
      </c>
      <c r="H11" s="120" t="n"/>
      <c r="I11" s="120" t="n"/>
      <c r="J11" s="120" t="n"/>
      <c r="K11" s="120" t="n"/>
      <c r="L11" s="120" t="n"/>
      <c r="M11" s="121" t="n">
        <v>1</v>
      </c>
      <c r="N11" s="121" t="n">
        <v>1</v>
      </c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  <c r="X11" s="122">
        <f>G11*Sumar!$I$6</f>
        <v/>
      </c>
      <c r="Y11" s="123" t="inlineStr">
        <is>
          <t>1.Project Setup</t>
        </is>
      </c>
      <c r="Z11" s="124" t="n"/>
    </row>
    <row r="12">
      <c r="A12" s="115" t="inlineStr">
        <is>
          <t>0.Project Management</t>
        </is>
      </c>
      <c r="B12" s="116" t="inlineStr">
        <is>
          <t>02 Portal Furnizori</t>
        </is>
      </c>
      <c r="C12" s="117" t="inlineStr">
        <is>
          <t>02.02</t>
        </is>
      </c>
      <c r="D12" s="117" t="inlineStr">
        <is>
          <t>Steering-uri, riscuri, aliniere interna</t>
        </is>
      </c>
      <c r="E12" s="117" t="n"/>
      <c r="F12" s="118" t="n"/>
      <c r="G12" s="119">
        <f>SUM(H12:W12)</f>
        <v/>
      </c>
      <c r="H12" s="120" t="n"/>
      <c r="I12" s="120" t="n"/>
      <c r="J12" s="120" t="n"/>
      <c r="K12" s="120" t="n"/>
      <c r="L12" s="120" t="n"/>
      <c r="M12" s="121" t="n">
        <v>1</v>
      </c>
      <c r="N12" s="121" t="n">
        <v>0.5</v>
      </c>
      <c r="O12" s="120" t="n"/>
      <c r="P12" s="120" t="n"/>
      <c r="Q12" s="120" t="n"/>
      <c r="R12" s="120" t="n"/>
      <c r="S12" s="120" t="n"/>
      <c r="T12" s="120" t="n"/>
      <c r="U12" s="120" t="n"/>
      <c r="V12" s="120" t="n"/>
      <c r="W12" s="120" t="n"/>
      <c r="X12" s="122">
        <f>G12*Sumar!$I$6</f>
        <v/>
      </c>
      <c r="Y12" s="123" t="inlineStr">
        <is>
          <t>1.Project Setup</t>
        </is>
      </c>
      <c r="Z12" s="124" t="n"/>
    </row>
    <row r="13">
      <c r="A13" s="115" t="inlineStr">
        <is>
          <t>1.Design</t>
        </is>
      </c>
      <c r="B13" s="116" t="inlineStr">
        <is>
          <t>02 Portal Furnizori</t>
        </is>
      </c>
      <c r="C13" s="117" t="inlineStr">
        <is>
          <t>02.03</t>
        </is>
      </c>
      <c r="D13" s="117" t="inlineStr">
        <is>
          <t>Workshop-uri de analiza flux achizitii si licitatii (cereri de oferta, evaluare, adjudecare)</t>
        </is>
      </c>
      <c r="E13" s="117" t="n"/>
      <c r="F13" s="118" t="n"/>
      <c r="G13" s="119">
        <f>SUM(H13:W13)</f>
        <v/>
      </c>
      <c r="H13" s="120" t="n"/>
      <c r="I13" s="120" t="n"/>
      <c r="J13" s="120" t="n"/>
      <c r="K13" s="120" t="n"/>
      <c r="L13" s="120" t="n"/>
      <c r="M13" s="120" t="n"/>
      <c r="N13" s="121" t="n">
        <v>1.5</v>
      </c>
      <c r="O13" s="121" t="n">
        <v>1.5</v>
      </c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2">
        <f>G13*Sumar!$I$6</f>
        <v/>
      </c>
      <c r="Y13" s="125" t="inlineStr">
        <is>
          <t>2.Analysis and Design</t>
        </is>
      </c>
      <c r="Z13" s="124" t="n"/>
    </row>
    <row r="14">
      <c r="A14" s="115" t="inlineStr">
        <is>
          <t>1.Design</t>
        </is>
      </c>
      <c r="B14" s="116" t="inlineStr">
        <is>
          <t>02 Portal Furnizori</t>
        </is>
      </c>
      <c r="C14" s="117" t="inlineStr">
        <is>
          <t>02.04</t>
        </is>
      </c>
      <c r="D14" s="117" t="inlineStr">
        <is>
          <t>Specificatie functionala, prezentare catre client, incorporare feedback</t>
        </is>
      </c>
      <c r="E14" s="117" t="n"/>
      <c r="F14" s="118" t="n"/>
      <c r="G14" s="119">
        <f>SUM(H14:W14)</f>
        <v/>
      </c>
      <c r="H14" s="120" t="n"/>
      <c r="I14" s="120" t="n"/>
      <c r="J14" s="120" t="n"/>
      <c r="K14" s="120" t="n"/>
      <c r="L14" s="120" t="n"/>
      <c r="M14" s="120" t="n"/>
      <c r="N14" s="121" t="n">
        <v>1.5</v>
      </c>
      <c r="O14" s="121" t="n">
        <v>1</v>
      </c>
      <c r="P14" s="120" t="n"/>
      <c r="Q14" s="121" t="n">
        <v>0.5</v>
      </c>
      <c r="R14" s="120" t="n"/>
      <c r="S14" s="120" t="n"/>
      <c r="T14" s="120" t="n"/>
      <c r="U14" s="120" t="n"/>
      <c r="V14" s="120" t="n"/>
      <c r="W14" s="120" t="n"/>
      <c r="X14" s="122">
        <f>G14*Sumar!$I$6</f>
        <v/>
      </c>
      <c r="Y14" s="125" t="inlineStr">
        <is>
          <t>2.Analysis and Design</t>
        </is>
      </c>
      <c r="Z14" s="124" t="n"/>
    </row>
    <row r="15">
      <c r="A15" s="115" t="inlineStr">
        <is>
          <t>4.Instalare</t>
        </is>
      </c>
      <c r="B15" s="116" t="inlineStr">
        <is>
          <t>02 Portal Furnizori</t>
        </is>
      </c>
      <c r="C15" s="117" t="inlineStr">
        <is>
          <t>02.05</t>
        </is>
      </c>
      <c r="D15" s="117" t="inlineStr">
        <is>
          <t>Instalare si configurare Charisma BIZ, publicare portal extern, securitate acces</t>
        </is>
      </c>
      <c r="E15" s="117" t="n"/>
      <c r="F15" s="118" t="n"/>
      <c r="G15" s="119">
        <f>SUM(H15:W15)</f>
        <v/>
      </c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1" t="n">
        <v>1</v>
      </c>
      <c r="R15" s="121" t="n">
        <v>0.5</v>
      </c>
      <c r="S15" s="120" t="n"/>
      <c r="T15" s="120" t="n"/>
      <c r="U15" s="120" t="n"/>
      <c r="V15" s="120" t="n"/>
      <c r="W15" s="120" t="n"/>
      <c r="X15" s="122">
        <f>G15*Sumar!$I$6</f>
        <v/>
      </c>
      <c r="Y15" s="123" t="inlineStr">
        <is>
          <t>1.Project Setup</t>
        </is>
      </c>
      <c r="Z15" s="124" t="n"/>
    </row>
    <row r="16">
      <c r="A16" s="115" t="inlineStr">
        <is>
          <t>2.Configurari</t>
        </is>
      </c>
      <c r="B16" s="116" t="inlineStr">
        <is>
          <t>02 Portal Furnizori</t>
        </is>
      </c>
      <c r="C16" s="117" t="inlineStr">
        <is>
          <t>02.06</t>
        </is>
      </c>
      <c r="D16" s="117" t="inlineStr">
        <is>
          <t>Configurare nomenclatoare, fluxuri de aprobare, roluri si drepturi utilizatori/furnizori</t>
        </is>
      </c>
      <c r="E16" s="117" t="n"/>
      <c r="F16" s="118" t="n"/>
      <c r="G16" s="119">
        <f>SUM(H16:W16)</f>
        <v/>
      </c>
      <c r="H16" s="120" t="n"/>
      <c r="I16" s="120" t="n"/>
      <c r="J16" s="120" t="n"/>
      <c r="K16" s="120" t="n"/>
      <c r="L16" s="120" t="n"/>
      <c r="M16" s="120" t="n"/>
      <c r="N16" s="121" t="n">
        <v>1</v>
      </c>
      <c r="O16" s="121" t="n">
        <v>2</v>
      </c>
      <c r="P16" s="120" t="n"/>
      <c r="Q16" s="121" t="n">
        <v>1</v>
      </c>
      <c r="R16" s="121" t="n">
        <v>1</v>
      </c>
      <c r="S16" s="120" t="n"/>
      <c r="T16" s="120" t="n"/>
      <c r="U16" s="120" t="n"/>
      <c r="V16" s="120" t="n"/>
      <c r="W16" s="120" t="n"/>
      <c r="X16" s="122">
        <f>G16*Sumar!$I$6</f>
        <v/>
      </c>
      <c r="Y16" s="126" t="inlineStr">
        <is>
          <t>3.Build</t>
        </is>
      </c>
      <c r="Z16" s="124" t="n"/>
    </row>
    <row r="17">
      <c r="A17" s="115" t="inlineStr">
        <is>
          <t>2.Configurari</t>
        </is>
      </c>
      <c r="B17" s="116" t="inlineStr">
        <is>
          <t>02 Portal Furnizori</t>
        </is>
      </c>
      <c r="C17" s="117" t="inlineStr">
        <is>
          <t>02.07</t>
        </is>
      </c>
      <c r="D17" s="117" t="inlineStr">
        <is>
          <t>Configurare flux licitatii: cereri de oferta, grile de evaluare, adjudecare, notificari</t>
        </is>
      </c>
      <c r="E17" s="117" t="n"/>
      <c r="F17" s="118" t="n"/>
      <c r="G17" s="119">
        <f>SUM(H17:W17)</f>
        <v/>
      </c>
      <c r="H17" s="120" t="n"/>
      <c r="I17" s="120" t="n"/>
      <c r="J17" s="120" t="n"/>
      <c r="K17" s="120" t="n"/>
      <c r="L17" s="120" t="n"/>
      <c r="M17" s="120" t="n"/>
      <c r="N17" s="121" t="n">
        <v>1.5</v>
      </c>
      <c r="O17" s="121" t="n">
        <v>2</v>
      </c>
      <c r="P17" s="120" t="n"/>
      <c r="Q17" s="121" t="n">
        <v>1</v>
      </c>
      <c r="R17" s="121" t="n">
        <v>0.5</v>
      </c>
      <c r="S17" s="120" t="n"/>
      <c r="T17" s="120" t="n"/>
      <c r="U17" s="120" t="n"/>
      <c r="V17" s="120" t="n"/>
      <c r="W17" s="120" t="n"/>
      <c r="X17" s="122">
        <f>G17*Sumar!$I$6</f>
        <v/>
      </c>
      <c r="Y17" s="126" t="inlineStr">
        <is>
          <t>3.Build</t>
        </is>
      </c>
      <c r="Z17" s="124" t="n"/>
    </row>
    <row r="18">
      <c r="A18" s="115" t="inlineStr">
        <is>
          <t>2.Dezvoltare / Integrare</t>
        </is>
      </c>
      <c r="B18" s="116" t="inlineStr">
        <is>
          <t>02 Portal Furnizori</t>
        </is>
      </c>
      <c r="C18" s="117" t="inlineStr">
        <is>
          <t>02.08</t>
        </is>
      </c>
      <c r="D18" s="117" t="inlineStr">
        <is>
          <t>Integrare ERP: sincronizare furnizori, articole, necesare si comenzi de aprovizionare</t>
        </is>
      </c>
      <c r="E18" s="117" t="n"/>
      <c r="F18" s="118" t="n"/>
      <c r="G18" s="119">
        <f>SUM(H18:W18)</f>
        <v/>
      </c>
      <c r="H18" s="120" t="n"/>
      <c r="I18" s="120" t="n"/>
      <c r="J18" s="120" t="n"/>
      <c r="K18" s="120" t="n"/>
      <c r="L18" s="120" t="n"/>
      <c r="M18" s="120" t="n"/>
      <c r="N18" s="120" t="n"/>
      <c r="O18" s="120" t="n"/>
      <c r="P18" s="120" t="n"/>
      <c r="Q18" s="121" t="n">
        <v>2</v>
      </c>
      <c r="R18" s="121" t="n">
        <v>1</v>
      </c>
      <c r="S18" s="120" t="n"/>
      <c r="T18" s="120" t="n"/>
      <c r="U18" s="121" t="n">
        <v>3</v>
      </c>
      <c r="V18" s="120" t="n"/>
      <c r="W18" s="120" t="n"/>
      <c r="X18" s="122">
        <f>G18*Sumar!$I$6</f>
        <v/>
      </c>
      <c r="Y18" s="126" t="inlineStr">
        <is>
          <t>3.Build</t>
        </is>
      </c>
      <c r="Z18" s="124" t="n"/>
    </row>
    <row r="19">
      <c r="A19" s="115" t="inlineStr">
        <is>
          <t>3.Import date</t>
        </is>
      </c>
      <c r="B19" s="116" t="inlineStr">
        <is>
          <t>02 Portal Furnizori</t>
        </is>
      </c>
      <c r="C19" s="117" t="inlineStr">
        <is>
          <t>02.09</t>
        </is>
      </c>
      <c r="D19" s="117" t="inlineStr">
        <is>
          <t>Import furnizori si date initiale, onboarding furnizori pe portal</t>
        </is>
      </c>
      <c r="E19" s="117" t="n"/>
      <c r="F19" s="118" t="n"/>
      <c r="G19" s="119">
        <f>SUM(H19:W19)</f>
        <v/>
      </c>
      <c r="H19" s="120" t="n"/>
      <c r="I19" s="120" t="n"/>
      <c r="J19" s="120" t="n"/>
      <c r="K19" s="120" t="n"/>
      <c r="L19" s="120" t="n"/>
      <c r="M19" s="120" t="n"/>
      <c r="N19" s="120" t="n"/>
      <c r="O19" s="121" t="n">
        <v>1</v>
      </c>
      <c r="P19" s="120" t="n"/>
      <c r="Q19" s="120" t="n"/>
      <c r="R19" s="121" t="n">
        <v>0.5</v>
      </c>
      <c r="S19" s="120" t="n"/>
      <c r="T19" s="120" t="n"/>
      <c r="U19" s="120" t="n"/>
      <c r="V19" s="120" t="n"/>
      <c r="W19" s="120" t="n"/>
      <c r="X19" s="122">
        <f>G19*Sumar!$I$6</f>
        <v/>
      </c>
      <c r="Y19" s="126" t="inlineStr">
        <is>
          <t>3.Build</t>
        </is>
      </c>
      <c r="Z19" s="124" t="n"/>
    </row>
    <row r="20">
      <c r="A20" s="115" t="inlineStr">
        <is>
          <t>5.Training</t>
        </is>
      </c>
      <c r="B20" s="116" t="inlineStr">
        <is>
          <t>02 Portal Furnizori</t>
        </is>
      </c>
      <c r="C20" s="117" t="inlineStr">
        <is>
          <t>02.10</t>
        </is>
      </c>
      <c r="D20" s="117" t="inlineStr">
        <is>
          <t>Training utilizatori interni + ghid de utilizare pentru furnizori</t>
        </is>
      </c>
      <c r="E20" s="117" t="n"/>
      <c r="F20" s="118" t="n"/>
      <c r="G20" s="119">
        <f>SUM(H20:W20)</f>
        <v/>
      </c>
      <c r="H20" s="120" t="n"/>
      <c r="I20" s="120" t="n"/>
      <c r="J20" s="120" t="n"/>
      <c r="K20" s="120" t="n"/>
      <c r="L20" s="120" t="n"/>
      <c r="M20" s="120" t="n"/>
      <c r="N20" s="121" t="n">
        <v>0.5</v>
      </c>
      <c r="O20" s="121" t="n">
        <v>1.5</v>
      </c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2">
        <f>G20*Sumar!$I$6</f>
        <v/>
      </c>
      <c r="Y20" s="127" t="inlineStr">
        <is>
          <t>4.Test &amp; Training</t>
        </is>
      </c>
      <c r="Z20" s="124" t="n"/>
    </row>
    <row r="21">
      <c r="A21" s="115" t="inlineStr">
        <is>
          <t>6.Testare</t>
        </is>
      </c>
      <c r="B21" s="116" t="inlineStr">
        <is>
          <t>02 Portal Furnizori</t>
        </is>
      </c>
      <c r="C21" s="117" t="inlineStr">
        <is>
          <t>02.11</t>
        </is>
      </c>
      <c r="D21" s="117" t="inlineStr">
        <is>
          <t>Factory testing (portal + integrare ERP)</t>
        </is>
      </c>
      <c r="E21" s="117" t="n"/>
      <c r="F21" s="118" t="n"/>
      <c r="G21" s="119">
        <f>SUM(H21:W21)</f>
        <v/>
      </c>
      <c r="H21" s="120" t="n"/>
      <c r="I21" s="120" t="n"/>
      <c r="J21" s="120" t="n"/>
      <c r="K21" s="120" t="n"/>
      <c r="L21" s="120" t="n"/>
      <c r="M21" s="120" t="n"/>
      <c r="N21" s="120" t="n"/>
      <c r="O21" s="121" t="n">
        <v>1</v>
      </c>
      <c r="P21" s="120" t="n"/>
      <c r="Q21" s="120" t="n"/>
      <c r="R21" s="121" t="n">
        <v>1</v>
      </c>
      <c r="S21" s="120" t="n"/>
      <c r="T21" s="120" t="n"/>
      <c r="U21" s="120" t="n"/>
      <c r="V21" s="120" t="n"/>
      <c r="W21" s="120" t="n"/>
      <c r="X21" s="122">
        <f>G21*Sumar!$I$6</f>
        <v/>
      </c>
      <c r="Y21" s="127" t="inlineStr">
        <is>
          <t>4.Test &amp; Training</t>
        </is>
      </c>
      <c r="Z21" s="124" t="n"/>
    </row>
    <row r="22">
      <c r="A22" s="115" t="inlineStr">
        <is>
          <t>6.Testare</t>
        </is>
      </c>
      <c r="B22" s="116" t="inlineStr">
        <is>
          <t>02 Portal Furnizori</t>
        </is>
      </c>
      <c r="C22" s="117" t="inlineStr">
        <is>
          <t>02.12</t>
        </is>
      </c>
      <c r="D22" s="117" t="inlineStr">
        <is>
          <t>Suport UAT si corectii</t>
        </is>
      </c>
      <c r="E22" s="117" t="n"/>
      <c r="F22" s="118" t="n"/>
      <c r="G22" s="119">
        <f>SUM(H22:W22)</f>
        <v/>
      </c>
      <c r="H22" s="120" t="n"/>
      <c r="I22" s="120" t="n"/>
      <c r="J22" s="120" t="n"/>
      <c r="K22" s="120" t="n"/>
      <c r="L22" s="120" t="n"/>
      <c r="M22" s="120" t="n"/>
      <c r="N22" s="121" t="n">
        <v>0.5</v>
      </c>
      <c r="O22" s="121" t="n">
        <v>1</v>
      </c>
      <c r="P22" s="120" t="n"/>
      <c r="Q22" s="120" t="n"/>
      <c r="R22" s="120" t="n"/>
      <c r="S22" s="120" t="n"/>
      <c r="T22" s="120" t="n"/>
      <c r="U22" s="120" t="n"/>
      <c r="V22" s="120" t="n"/>
      <c r="W22" s="120" t="n"/>
      <c r="X22" s="122">
        <f>G22*Sumar!$I$6</f>
        <v/>
      </c>
      <c r="Y22" s="127" t="inlineStr">
        <is>
          <t>4.Test &amp; Training</t>
        </is>
      </c>
      <c r="Z22" s="124" t="n"/>
    </row>
    <row r="23">
      <c r="A23" s="115" t="inlineStr">
        <is>
          <t>7.Intrare in productie</t>
        </is>
      </c>
      <c r="B23" s="116" t="inlineStr">
        <is>
          <t>02 Portal Furnizori</t>
        </is>
      </c>
      <c r="C23" s="117" t="inlineStr">
        <is>
          <t>02.13</t>
        </is>
      </c>
      <c r="D23" s="117" t="inlineStr">
        <is>
          <t>Intrare in productie si asistenta pentru stabilizare</t>
        </is>
      </c>
      <c r="E23" s="117" t="n"/>
      <c r="F23" s="118" t="n"/>
      <c r="G23" s="119">
        <f>SUM(H23:W23)</f>
        <v/>
      </c>
      <c r="H23" s="120" t="n"/>
      <c r="I23" s="120" t="n"/>
      <c r="J23" s="120" t="n"/>
      <c r="K23" s="120" t="n"/>
      <c r="L23" s="120" t="n"/>
      <c r="M23" s="120" t="n"/>
      <c r="N23" s="120" t="n"/>
      <c r="O23" s="121" t="n">
        <v>0.5</v>
      </c>
      <c r="P23" s="120" t="n"/>
      <c r="Q23" s="120" t="n"/>
      <c r="R23" s="121" t="n">
        <v>0.5</v>
      </c>
      <c r="S23" s="120" t="n"/>
      <c r="T23" s="120" t="n"/>
      <c r="U23" s="120" t="n"/>
      <c r="V23" s="120" t="n"/>
      <c r="W23" s="120" t="n"/>
      <c r="X23" s="122">
        <f>G23*Sumar!$I$6</f>
        <v/>
      </c>
      <c r="Y23" s="128" t="inlineStr">
        <is>
          <t>5.Go-Live &amp; Hypercare</t>
        </is>
      </c>
      <c r="Z23" s="124" t="n"/>
    </row>
    <row r="24">
      <c r="A24" s="112" t="inlineStr">
        <is>
          <t>Livrabil</t>
        </is>
      </c>
      <c r="B24" s="112" t="inlineStr">
        <is>
          <t>03a Invictus Sc.1 (total)</t>
        </is>
      </c>
      <c r="C24" s="112" t="inlineStr">
        <is>
          <t>03a</t>
        </is>
      </c>
      <c r="D24" s="112" t="inlineStr">
        <is>
          <t>3a. Integrare API Invictus Normare &lt;-&gt; Productie Charisma — Scenariul 1 (de baza, fara Planificare)</t>
        </is>
      </c>
      <c r="E24" s="112" t="n"/>
      <c r="F24" s="112" t="n"/>
      <c r="G24" s="113">
        <f>SUBTOTAL(9,G25:G34)</f>
        <v/>
      </c>
      <c r="H24" s="113">
        <f>SUBTOTAL(9,H25:H34)</f>
        <v/>
      </c>
      <c r="I24" s="113">
        <f>SUBTOTAL(9,I25:I34)</f>
        <v/>
      </c>
      <c r="J24" s="113">
        <f>SUBTOTAL(9,J25:J34)</f>
        <v/>
      </c>
      <c r="K24" s="113">
        <f>SUBTOTAL(9,K25:K34)</f>
        <v/>
      </c>
      <c r="L24" s="113">
        <f>SUBTOTAL(9,L25:L34)</f>
        <v/>
      </c>
      <c r="M24" s="113">
        <f>SUBTOTAL(9,M25:M34)</f>
        <v/>
      </c>
      <c r="N24" s="113">
        <f>SUBTOTAL(9,N25:N34)</f>
        <v/>
      </c>
      <c r="O24" s="113">
        <f>SUBTOTAL(9,O25:O34)</f>
        <v/>
      </c>
      <c r="P24" s="113">
        <f>SUBTOTAL(9,P25:P34)</f>
        <v/>
      </c>
      <c r="Q24" s="113">
        <f>SUBTOTAL(9,Q25:Q34)</f>
        <v/>
      </c>
      <c r="R24" s="113">
        <f>SUBTOTAL(9,R25:R34)</f>
        <v/>
      </c>
      <c r="S24" s="113">
        <f>SUBTOTAL(9,S25:S34)</f>
        <v/>
      </c>
      <c r="T24" s="113">
        <f>SUBTOTAL(9,T25:T34)</f>
        <v/>
      </c>
      <c r="U24" s="113">
        <f>SUBTOTAL(9,U25:U34)</f>
        <v/>
      </c>
      <c r="V24" s="113">
        <f>SUBTOTAL(9,V25:V34)</f>
        <v/>
      </c>
      <c r="W24" s="113">
        <f>SUBTOTAL(9,W25:W34)</f>
        <v/>
      </c>
      <c r="X24" s="114">
        <f>SUBTOTAL(9,X25:X34)</f>
        <v/>
      </c>
      <c r="Y24" s="112" t="n"/>
      <c r="Z24" s="112" t="inlineStr">
        <is>
          <t>Oferta: 168 ore max. x 87,50 EUR/ora (= 21 zile x 700 EUR/zi)</t>
        </is>
      </c>
    </row>
    <row r="25">
      <c r="A25" s="115" t="inlineStr">
        <is>
          <t>0.Project Management</t>
        </is>
      </c>
      <c r="B25" s="116" t="inlineStr">
        <is>
          <t>03a Invictus Sc.1</t>
        </is>
      </c>
      <c r="C25" s="117" t="inlineStr">
        <is>
          <t>03a.01</t>
        </is>
      </c>
      <c r="D25" s="117" t="inlineStr">
        <is>
          <t>Kick-off, coordonare cu furnizorul Invictus, status reports</t>
        </is>
      </c>
      <c r="E25" s="117" t="n"/>
      <c r="F25" s="118" t="n"/>
      <c r="G25" s="119">
        <f>SUM(H25:W25)</f>
        <v/>
      </c>
      <c r="H25" s="120" t="n"/>
      <c r="I25" s="120" t="n"/>
      <c r="J25" s="120" t="n"/>
      <c r="K25" s="120" t="n"/>
      <c r="L25" s="120" t="n"/>
      <c r="M25" s="121" t="n">
        <v>1</v>
      </c>
      <c r="N25" s="121" t="n">
        <v>0.5</v>
      </c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2">
        <f>G25*Sumar!$I$7</f>
        <v/>
      </c>
      <c r="Y25" s="123" t="inlineStr">
        <is>
          <t>1.Project Setup</t>
        </is>
      </c>
      <c r="Z25" s="124" t="n"/>
    </row>
    <row r="26">
      <c r="A26" s="115" t="inlineStr">
        <is>
          <t>1.Design</t>
        </is>
      </c>
      <c r="B26" s="116" t="inlineStr">
        <is>
          <t>03a Invictus Sc.1</t>
        </is>
      </c>
      <c r="C26" s="117" t="inlineStr">
        <is>
          <t>03a.02</t>
        </is>
      </c>
      <c r="D26" s="117" t="inlineStr">
        <is>
          <t>Analiza flux normare/productie si mapare date (norme, operatii, tehnologii, timpi)</t>
        </is>
      </c>
      <c r="E26" s="117" t="n"/>
      <c r="F26" s="118" t="n"/>
      <c r="G26" s="119">
        <f>SUM(H26:W26)</f>
        <v/>
      </c>
      <c r="H26" s="120" t="n"/>
      <c r="I26" s="120" t="n"/>
      <c r="J26" s="120" t="n"/>
      <c r="K26" s="120" t="n"/>
      <c r="L26" s="120" t="n"/>
      <c r="M26" s="120" t="n"/>
      <c r="N26" s="121" t="n">
        <v>1</v>
      </c>
      <c r="O26" s="120" t="n"/>
      <c r="P26" s="120" t="n"/>
      <c r="Q26" s="121" t="n">
        <v>1.5</v>
      </c>
      <c r="R26" s="120" t="n"/>
      <c r="S26" s="120" t="n"/>
      <c r="T26" s="120" t="n"/>
      <c r="U26" s="120" t="n"/>
      <c r="V26" s="120" t="n"/>
      <c r="W26" s="120" t="n"/>
      <c r="X26" s="122">
        <f>G26*Sumar!$I$7</f>
        <v/>
      </c>
      <c r="Y26" s="125" t="inlineStr">
        <is>
          <t>2.Analysis and Design</t>
        </is>
      </c>
      <c r="Z26" s="124" t="n"/>
    </row>
    <row r="27">
      <c r="A27" s="115" t="inlineStr">
        <is>
          <t>1.Design</t>
        </is>
      </c>
      <c r="B27" s="116" t="inlineStr">
        <is>
          <t>03a Invictus Sc.1</t>
        </is>
      </c>
      <c r="C27" s="117" t="inlineStr">
        <is>
          <t>03a.03</t>
        </is>
      </c>
      <c r="D27" s="117" t="inlineStr">
        <is>
          <t>Specificatie tehnica API (endpoint-uri, formate, autentificare, tratare erori)</t>
        </is>
      </c>
      <c r="E27" s="117" t="n"/>
      <c r="F27" s="118" t="n"/>
      <c r="G27" s="119">
        <f>SUM(H27:W27)</f>
        <v/>
      </c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1" t="n">
        <v>1</v>
      </c>
      <c r="R27" s="120" t="n"/>
      <c r="S27" s="120" t="n"/>
      <c r="T27" s="120" t="n"/>
      <c r="U27" s="121" t="n">
        <v>1</v>
      </c>
      <c r="V27" s="120" t="n"/>
      <c r="W27" s="120" t="n"/>
      <c r="X27" s="122">
        <f>G27*Sumar!$I$7</f>
        <v/>
      </c>
      <c r="Y27" s="125" t="inlineStr">
        <is>
          <t>2.Analysis and Design</t>
        </is>
      </c>
      <c r="Z27" s="124" t="n"/>
    </row>
    <row r="28">
      <c r="A28" s="115" t="inlineStr">
        <is>
          <t>2.Dezvoltare / Integrare</t>
        </is>
      </c>
      <c r="B28" s="116" t="inlineStr">
        <is>
          <t>03a Invictus Sc.1</t>
        </is>
      </c>
      <c r="C28" s="117" t="inlineStr">
        <is>
          <t>03a.04</t>
        </is>
      </c>
      <c r="D28" s="117" t="inlineStr">
        <is>
          <t>Import norme, operatii si tehnologii din Invictus in Charisma</t>
        </is>
      </c>
      <c r="E28" s="117" t="n"/>
      <c r="F28" s="118" t="n"/>
      <c r="G28" s="119">
        <f>SUM(H28:W28)</f>
        <v/>
      </c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1" t="n">
        <v>1</v>
      </c>
      <c r="R28" s="120" t="n"/>
      <c r="S28" s="120" t="n"/>
      <c r="T28" s="120" t="n"/>
      <c r="U28" s="121" t="n">
        <v>3</v>
      </c>
      <c r="V28" s="120" t="n"/>
      <c r="W28" s="120" t="n"/>
      <c r="X28" s="122">
        <f>G28*Sumar!$I$7</f>
        <v/>
      </c>
      <c r="Y28" s="126" t="inlineStr">
        <is>
          <t>3.Build</t>
        </is>
      </c>
      <c r="Z28" s="124" t="n"/>
    </row>
    <row r="29">
      <c r="A29" s="115" t="inlineStr">
        <is>
          <t>2.Dezvoltare / Integrare</t>
        </is>
      </c>
      <c r="B29" s="116" t="inlineStr">
        <is>
          <t>03a Invictus Sc.1</t>
        </is>
      </c>
      <c r="C29" s="117" t="inlineStr">
        <is>
          <t>03a.05</t>
        </is>
      </c>
      <c r="D29" s="117" t="inlineStr">
        <is>
          <t>Transfer comenzi / lansari de productie Charisma -&gt; Invictus</t>
        </is>
      </c>
      <c r="E29" s="117" t="n"/>
      <c r="F29" s="118" t="n"/>
      <c r="G29" s="119">
        <f>SUM(H29:W29)</f>
        <v/>
      </c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1" t="n">
        <v>1</v>
      </c>
      <c r="R29" s="120" t="n"/>
      <c r="S29" s="120" t="n"/>
      <c r="T29" s="120" t="n"/>
      <c r="U29" s="121" t="n">
        <v>2.5</v>
      </c>
      <c r="V29" s="120" t="n"/>
      <c r="W29" s="120" t="n"/>
      <c r="X29" s="122">
        <f>G29*Sumar!$I$7</f>
        <v/>
      </c>
      <c r="Y29" s="126" t="inlineStr">
        <is>
          <t>3.Build</t>
        </is>
      </c>
      <c r="Z29" s="124" t="n"/>
    </row>
    <row r="30">
      <c r="A30" s="115" t="inlineStr">
        <is>
          <t>2.Dezvoltare / Integrare</t>
        </is>
      </c>
      <c r="B30" s="116" t="inlineStr">
        <is>
          <t>03a Invictus Sc.1</t>
        </is>
      </c>
      <c r="C30" s="117" t="inlineStr">
        <is>
          <t>03a.06</t>
        </is>
      </c>
      <c r="D30" s="117" t="inlineStr">
        <is>
          <t>Preluare raportari de productie (realizari, timpi) Invictus -&gt; Charisma</t>
        </is>
      </c>
      <c r="E30" s="117" t="n"/>
      <c r="F30" s="118" t="n"/>
      <c r="G30" s="119">
        <f>SUM(H30:W30)</f>
        <v/>
      </c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1" t="n">
        <v>1</v>
      </c>
      <c r="R30" s="120" t="n"/>
      <c r="S30" s="120" t="n"/>
      <c r="T30" s="120" t="n"/>
      <c r="U30" s="121" t="n">
        <v>2.5</v>
      </c>
      <c r="V30" s="120" t="n"/>
      <c r="W30" s="120" t="n"/>
      <c r="X30" s="122">
        <f>G30*Sumar!$I$7</f>
        <v/>
      </c>
      <c r="Y30" s="126" t="inlineStr">
        <is>
          <t>3.Build</t>
        </is>
      </c>
      <c r="Z30" s="124" t="n"/>
    </row>
    <row r="31">
      <c r="A31" s="115" t="inlineStr">
        <is>
          <t>2.Dezvoltare / Integrare</t>
        </is>
      </c>
      <c r="B31" s="116" t="inlineStr">
        <is>
          <t>03a Invictus Sc.1</t>
        </is>
      </c>
      <c r="C31" s="117" t="inlineStr">
        <is>
          <t>03a.07</t>
        </is>
      </c>
      <c r="D31" s="117" t="inlineStr">
        <is>
          <t>Jurnalizare, monitorizare, tratare si reprocesare erori</t>
        </is>
      </c>
      <c r="E31" s="117" t="n"/>
      <c r="F31" s="118" t="n"/>
      <c r="G31" s="119">
        <f>SUM(H31:W31)</f>
        <v/>
      </c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1" t="n">
        <v>1.5</v>
      </c>
      <c r="V31" s="120" t="n"/>
      <c r="W31" s="120" t="n"/>
      <c r="X31" s="122">
        <f>G31*Sumar!$I$7</f>
        <v/>
      </c>
      <c r="Y31" s="126" t="inlineStr">
        <is>
          <t>3.Build</t>
        </is>
      </c>
      <c r="Z31" s="124" t="n"/>
    </row>
    <row r="32">
      <c r="A32" s="115" t="inlineStr">
        <is>
          <t>6.Testare</t>
        </is>
      </c>
      <c r="B32" s="116" t="inlineStr">
        <is>
          <t>03a Invictus Sc.1</t>
        </is>
      </c>
      <c r="C32" s="117" t="inlineStr">
        <is>
          <t>03a.08</t>
        </is>
      </c>
      <c r="D32" s="117" t="inlineStr">
        <is>
          <t>Factory testing end-to-end</t>
        </is>
      </c>
      <c r="E32" s="117" t="n"/>
      <c r="F32" s="118" t="n"/>
      <c r="G32" s="119">
        <f>SUM(H32:W32)</f>
        <v/>
      </c>
      <c r="H32" s="120" t="n"/>
      <c r="I32" s="120" t="n"/>
      <c r="J32" s="120" t="n"/>
      <c r="K32" s="120" t="n"/>
      <c r="L32" s="120" t="n"/>
      <c r="M32" s="120" t="n"/>
      <c r="N32" s="120" t="n"/>
      <c r="O32" s="120" t="n"/>
      <c r="P32" s="120" t="n"/>
      <c r="Q32" s="121" t="n">
        <v>0.5</v>
      </c>
      <c r="R32" s="121" t="n">
        <v>1</v>
      </c>
      <c r="S32" s="120" t="n"/>
      <c r="T32" s="120" t="n"/>
      <c r="U32" s="120" t="n"/>
      <c r="V32" s="120" t="n"/>
      <c r="W32" s="120" t="n"/>
      <c r="X32" s="122">
        <f>G32*Sumar!$I$7</f>
        <v/>
      </c>
      <c r="Y32" s="127" t="inlineStr">
        <is>
          <t>4.Test &amp; Training</t>
        </is>
      </c>
      <c r="Z32" s="124" t="n"/>
    </row>
    <row r="33">
      <c r="A33" s="115" t="inlineStr">
        <is>
          <t>6.Testare</t>
        </is>
      </c>
      <c r="B33" s="116" t="inlineStr">
        <is>
          <t>03a Invictus Sc.1</t>
        </is>
      </c>
      <c r="C33" s="117" t="inlineStr">
        <is>
          <t>03a.09</t>
        </is>
      </c>
      <c r="D33" s="117" t="inlineStr">
        <is>
          <t>Suport UAT si corectii</t>
        </is>
      </c>
      <c r="E33" s="117" t="n"/>
      <c r="F33" s="118" t="n"/>
      <c r="G33" s="119">
        <f>SUM(H33:W33)</f>
        <v/>
      </c>
      <c r="H33" s="120" t="n"/>
      <c r="I33" s="120" t="n"/>
      <c r="J33" s="120" t="n"/>
      <c r="K33" s="120" t="n"/>
      <c r="L33" s="120" t="n"/>
      <c r="M33" s="120" t="n"/>
      <c r="N33" s="121" t="n">
        <v>0.5</v>
      </c>
      <c r="O33" s="120" t="n"/>
      <c r="P33" s="120" t="n"/>
      <c r="Q33" s="120" t="n"/>
      <c r="R33" s="120" t="n"/>
      <c r="S33" s="120" t="n"/>
      <c r="T33" s="120" t="n"/>
      <c r="U33" s="120" t="n"/>
      <c r="V33" s="120" t="n"/>
      <c r="W33" s="120" t="n"/>
      <c r="X33" s="122">
        <f>G33*Sumar!$I$7</f>
        <v/>
      </c>
      <c r="Y33" s="127" t="inlineStr">
        <is>
          <t>4.Test &amp; Training</t>
        </is>
      </c>
      <c r="Z33" s="124" t="n"/>
    </row>
    <row r="34">
      <c r="A34" s="115" t="inlineStr">
        <is>
          <t>7.Intrare in productie</t>
        </is>
      </c>
      <c r="B34" s="116" t="inlineStr">
        <is>
          <t>03a Invictus Sc.1</t>
        </is>
      </c>
      <c r="C34" s="117" t="inlineStr">
        <is>
          <t>03a.10</t>
        </is>
      </c>
      <c r="D34" s="117" t="inlineStr">
        <is>
          <t>Punere in productie si stabilizare</t>
        </is>
      </c>
      <c r="E34" s="117" t="n"/>
      <c r="F34" s="118" t="n"/>
      <c r="G34" s="119">
        <f>SUM(H34:W34)</f>
        <v/>
      </c>
      <c r="H34" s="120" t="n"/>
      <c r="I34" s="120" t="n"/>
      <c r="J34" s="120" t="n"/>
      <c r="K34" s="120" t="n"/>
      <c r="L34" s="120" t="n"/>
      <c r="M34" s="120" t="n"/>
      <c r="N34" s="120" t="n"/>
      <c r="O34" s="120" t="n"/>
      <c r="P34" s="120" t="n"/>
      <c r="Q34" s="121" t="n">
        <v>0.5</v>
      </c>
      <c r="R34" s="120" t="n"/>
      <c r="S34" s="120" t="n"/>
      <c r="T34" s="120" t="n"/>
      <c r="U34" s="120" t="n"/>
      <c r="V34" s="120" t="n"/>
      <c r="W34" s="120" t="n"/>
      <c r="X34" s="122">
        <f>G34*Sumar!$I$7</f>
        <v/>
      </c>
      <c r="Y34" s="128" t="inlineStr">
        <is>
          <t>5.Go-Live &amp; Hypercare</t>
        </is>
      </c>
      <c r="Z34" s="124" t="n"/>
    </row>
    <row r="35">
      <c r="A35" s="112" t="inlineStr">
        <is>
          <t>Livrabil</t>
        </is>
      </c>
      <c r="B35" s="112" t="inlineStr">
        <is>
          <t>03b Invictus Planificare (total)</t>
        </is>
      </c>
      <c r="C35" s="112" t="inlineStr">
        <is>
          <t>03b</t>
        </is>
      </c>
      <c r="D35" s="112" t="inlineStr">
        <is>
          <t>3b. Integrare API Invictus — Supliment Scenariul 2 (Modul Planificare)</t>
        </is>
      </c>
      <c r="E35" s="112" t="n"/>
      <c r="F35" s="112" t="n"/>
      <c r="G35" s="113">
        <f>SUBTOTAL(9,G36:G40)</f>
        <v/>
      </c>
      <c r="H35" s="113">
        <f>SUBTOTAL(9,H36:H40)</f>
        <v/>
      </c>
      <c r="I35" s="113">
        <f>SUBTOTAL(9,I36:I40)</f>
        <v/>
      </c>
      <c r="J35" s="113">
        <f>SUBTOTAL(9,J36:J40)</f>
        <v/>
      </c>
      <c r="K35" s="113">
        <f>SUBTOTAL(9,K36:K40)</f>
        <v/>
      </c>
      <c r="L35" s="113">
        <f>SUBTOTAL(9,L36:L40)</f>
        <v/>
      </c>
      <c r="M35" s="113">
        <f>SUBTOTAL(9,M36:M40)</f>
        <v/>
      </c>
      <c r="N35" s="113">
        <f>SUBTOTAL(9,N36:N40)</f>
        <v/>
      </c>
      <c r="O35" s="113">
        <f>SUBTOTAL(9,O36:O40)</f>
        <v/>
      </c>
      <c r="P35" s="113">
        <f>SUBTOTAL(9,P36:P40)</f>
        <v/>
      </c>
      <c r="Q35" s="113">
        <f>SUBTOTAL(9,Q36:Q40)</f>
        <v/>
      </c>
      <c r="R35" s="113">
        <f>SUBTOTAL(9,R36:R40)</f>
        <v/>
      </c>
      <c r="S35" s="113">
        <f>SUBTOTAL(9,S36:S40)</f>
        <v/>
      </c>
      <c r="T35" s="113">
        <f>SUBTOTAL(9,T36:T40)</f>
        <v/>
      </c>
      <c r="U35" s="113">
        <f>SUBTOTAL(9,U36:U40)</f>
        <v/>
      </c>
      <c r="V35" s="113">
        <f>SUBTOTAL(9,V36:V40)</f>
        <v/>
      </c>
      <c r="W35" s="113">
        <f>SUBTOTAL(9,W36:W40)</f>
        <v/>
      </c>
      <c r="X35" s="114">
        <f>SUBTOTAL(9,X36:X40)</f>
        <v/>
      </c>
      <c r="Y35" s="112" t="n"/>
      <c r="Z35" s="112" t="inlineStr">
        <is>
          <t>Oferta: 64 ore max. x 87,50 EUR/ora (= 8 zile x 700 EUR/zi). Inclus in Scenariul 2 (recomandat)</t>
        </is>
      </c>
    </row>
    <row r="36">
      <c r="A36" s="115" t="inlineStr">
        <is>
          <t>1.Design</t>
        </is>
      </c>
      <c r="B36" s="116" t="inlineStr">
        <is>
          <t>03b Invictus Planificare</t>
        </is>
      </c>
      <c r="C36" s="117" t="inlineStr">
        <is>
          <t>03b.01</t>
        </is>
      </c>
      <c r="D36" s="117" t="inlineStr">
        <is>
          <t>Analiza cerinte planificare (capacitati, calendar, prioritati) si mapare date</t>
        </is>
      </c>
      <c r="E36" s="117" t="n"/>
      <c r="F36" s="118" t="n"/>
      <c r="G36" s="119">
        <f>SUM(H36:W36)</f>
        <v/>
      </c>
      <c r="H36" s="120" t="n"/>
      <c r="I36" s="120" t="n"/>
      <c r="J36" s="120" t="n"/>
      <c r="K36" s="120" t="n"/>
      <c r="L36" s="120" t="n"/>
      <c r="M36" s="120" t="n"/>
      <c r="N36" s="121" t="n">
        <v>0.5</v>
      </c>
      <c r="O36" s="120" t="n"/>
      <c r="P36" s="120" t="n"/>
      <c r="Q36" s="121" t="n">
        <v>1</v>
      </c>
      <c r="R36" s="120" t="n"/>
      <c r="S36" s="120" t="n"/>
      <c r="T36" s="120" t="n"/>
      <c r="U36" s="120" t="n"/>
      <c r="V36" s="120" t="n"/>
      <c r="W36" s="120" t="n"/>
      <c r="X36" s="122">
        <f>G36*Sumar!$I$8</f>
        <v/>
      </c>
      <c r="Y36" s="125" t="inlineStr">
        <is>
          <t>2.Analysis and Design</t>
        </is>
      </c>
      <c r="Z36" s="124" t="n"/>
    </row>
    <row r="37">
      <c r="A37" s="115" t="inlineStr">
        <is>
          <t>2.Dezvoltare / Integrare</t>
        </is>
      </c>
      <c r="B37" s="116" t="inlineStr">
        <is>
          <t>03b Invictus Planificare</t>
        </is>
      </c>
      <c r="C37" s="117" t="inlineStr">
        <is>
          <t>03b.02</t>
        </is>
      </c>
      <c r="D37" s="117" t="inlineStr">
        <is>
          <t>Transfer comenzi de planificat si capacitati Charisma -&gt; Invictus</t>
        </is>
      </c>
      <c r="E37" s="117" t="n"/>
      <c r="F37" s="118" t="n"/>
      <c r="G37" s="119">
        <f>SUM(H37:W37)</f>
        <v/>
      </c>
      <c r="H37" s="120" t="n"/>
      <c r="I37" s="120" t="n"/>
      <c r="J37" s="120" t="n"/>
      <c r="K37" s="120" t="n"/>
      <c r="L37" s="120" t="n"/>
      <c r="M37" s="120" t="n"/>
      <c r="N37" s="120" t="n"/>
      <c r="O37" s="120" t="n"/>
      <c r="P37" s="120" t="n"/>
      <c r="Q37" s="121" t="n">
        <v>0.5</v>
      </c>
      <c r="R37" s="120" t="n"/>
      <c r="S37" s="120" t="n"/>
      <c r="T37" s="120" t="n"/>
      <c r="U37" s="121" t="n">
        <v>1.5</v>
      </c>
      <c r="V37" s="120" t="n"/>
      <c r="W37" s="120" t="n"/>
      <c r="X37" s="122">
        <f>G37*Sumar!$I$8</f>
        <v/>
      </c>
      <c r="Y37" s="126" t="inlineStr">
        <is>
          <t>3.Build</t>
        </is>
      </c>
      <c r="Z37" s="124" t="n"/>
    </row>
    <row r="38">
      <c r="A38" s="115" t="inlineStr">
        <is>
          <t>2.Dezvoltare / Integrare</t>
        </is>
      </c>
      <c r="B38" s="116" t="inlineStr">
        <is>
          <t>03b Invictus Planificare</t>
        </is>
      </c>
      <c r="C38" s="117" t="inlineStr">
        <is>
          <t>03b.03</t>
        </is>
      </c>
      <c r="D38" s="117" t="inlineStr">
        <is>
          <t>Preluare plan de productie / secventiere Invictus -&gt; Charisma (actualizare lansari, termene)</t>
        </is>
      </c>
      <c r="E38" s="117" t="n"/>
      <c r="F38" s="118" t="n"/>
      <c r="G38" s="119">
        <f>SUM(H38:W38)</f>
        <v/>
      </c>
      <c r="H38" s="120" t="n"/>
      <c r="I38" s="120" t="n"/>
      <c r="J38" s="120" t="n"/>
      <c r="K38" s="120" t="n"/>
      <c r="L38" s="120" t="n"/>
      <c r="M38" s="120" t="n"/>
      <c r="N38" s="120" t="n"/>
      <c r="O38" s="120" t="n"/>
      <c r="P38" s="120" t="n"/>
      <c r="Q38" s="121" t="n">
        <v>0.5</v>
      </c>
      <c r="R38" s="120" t="n"/>
      <c r="S38" s="120" t="n"/>
      <c r="T38" s="120" t="n"/>
      <c r="U38" s="121" t="n">
        <v>2</v>
      </c>
      <c r="V38" s="120" t="n"/>
      <c r="W38" s="120" t="n"/>
      <c r="X38" s="122">
        <f>G38*Sumar!$I$8</f>
        <v/>
      </c>
      <c r="Y38" s="126" t="inlineStr">
        <is>
          <t>3.Build</t>
        </is>
      </c>
      <c r="Z38" s="124" t="n"/>
    </row>
    <row r="39">
      <c r="A39" s="115" t="inlineStr">
        <is>
          <t>6.Testare</t>
        </is>
      </c>
      <c r="B39" s="116" t="inlineStr">
        <is>
          <t>03b Invictus Planificare</t>
        </is>
      </c>
      <c r="C39" s="117" t="inlineStr">
        <is>
          <t>03b.04</t>
        </is>
      </c>
      <c r="D39" s="117" t="inlineStr">
        <is>
          <t>Testare scenarii de planificare</t>
        </is>
      </c>
      <c r="E39" s="117" t="n"/>
      <c r="F39" s="118" t="n"/>
      <c r="G39" s="119">
        <f>SUM(H39:W39)</f>
        <v/>
      </c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1" t="n">
        <v>0.5</v>
      </c>
      <c r="R39" s="121" t="n">
        <v>0.5</v>
      </c>
      <c r="S39" s="120" t="n"/>
      <c r="T39" s="120" t="n"/>
      <c r="U39" s="120" t="n"/>
      <c r="V39" s="120" t="n"/>
      <c r="W39" s="120" t="n"/>
      <c r="X39" s="122">
        <f>G39*Sumar!$I$8</f>
        <v/>
      </c>
      <c r="Y39" s="127" t="inlineStr">
        <is>
          <t>4.Test &amp; Training</t>
        </is>
      </c>
      <c r="Z39" s="124" t="n"/>
    </row>
    <row r="40">
      <c r="A40" s="115" t="inlineStr">
        <is>
          <t>5.Training</t>
        </is>
      </c>
      <c r="B40" s="116" t="inlineStr">
        <is>
          <t>03b Invictus Planificare</t>
        </is>
      </c>
      <c r="C40" s="117" t="inlineStr">
        <is>
          <t>03b.05</t>
        </is>
      </c>
      <c r="D40" s="117" t="inlineStr">
        <is>
          <t>Training utilizatori planificare si intrare in productie</t>
        </is>
      </c>
      <c r="E40" s="117" t="n"/>
      <c r="F40" s="118" t="n"/>
      <c r="G40" s="119">
        <f>SUM(H40:W40)</f>
        <v/>
      </c>
      <c r="H40" s="120" t="n"/>
      <c r="I40" s="120" t="n"/>
      <c r="J40" s="120" t="n"/>
      <c r="K40" s="120" t="n"/>
      <c r="L40" s="120" t="n"/>
      <c r="M40" s="120" t="n"/>
      <c r="N40" s="121" t="n">
        <v>0.5</v>
      </c>
      <c r="O40" s="121" t="n">
        <v>0.5</v>
      </c>
      <c r="P40" s="120" t="n"/>
      <c r="Q40" s="120" t="n"/>
      <c r="R40" s="120" t="n"/>
      <c r="S40" s="120" t="n"/>
      <c r="T40" s="120" t="n"/>
      <c r="U40" s="120" t="n"/>
      <c r="V40" s="120" t="n"/>
      <c r="W40" s="120" t="n"/>
      <c r="X40" s="122">
        <f>G40*Sumar!$I$8</f>
        <v/>
      </c>
      <c r="Y40" s="127" t="inlineStr">
        <is>
          <t>4.Test &amp; Training</t>
        </is>
      </c>
      <c r="Z40" s="124" t="n"/>
    </row>
    <row r="41">
      <c r="A41" s="112" t="inlineStr">
        <is>
          <t>Livrabil</t>
        </is>
      </c>
      <c r="B41" s="112" t="inlineStr">
        <is>
          <t>04 Payroll (total)</t>
        </is>
      </c>
      <c r="C41" s="112" t="inlineStr">
        <is>
          <t>05</t>
        </is>
      </c>
      <c r="D41" s="112" t="inlineStr">
        <is>
          <t>4. Integrare Date Salarizare / Bonuri de Masa -&gt; Payroll Charisma</t>
        </is>
      </c>
      <c r="E41" s="112" t="n"/>
      <c r="F41" s="112" t="n"/>
      <c r="G41" s="113">
        <f>SUBTOTAL(9,G42:G50)</f>
        <v/>
      </c>
      <c r="H41" s="113">
        <f>SUBTOTAL(9,H42:H50)</f>
        <v/>
      </c>
      <c r="I41" s="113">
        <f>SUBTOTAL(9,I42:I50)</f>
        <v/>
      </c>
      <c r="J41" s="113">
        <f>SUBTOTAL(9,J42:J50)</f>
        <v/>
      </c>
      <c r="K41" s="113">
        <f>SUBTOTAL(9,K42:K50)</f>
        <v/>
      </c>
      <c r="L41" s="113">
        <f>SUBTOTAL(9,L42:L50)</f>
        <v/>
      </c>
      <c r="M41" s="113">
        <f>SUBTOTAL(9,M42:M50)</f>
        <v/>
      </c>
      <c r="N41" s="113">
        <f>SUBTOTAL(9,N42:N50)</f>
        <v/>
      </c>
      <c r="O41" s="113">
        <f>SUBTOTAL(9,O42:O50)</f>
        <v/>
      </c>
      <c r="P41" s="113">
        <f>SUBTOTAL(9,P42:P50)</f>
        <v/>
      </c>
      <c r="Q41" s="113">
        <f>SUBTOTAL(9,Q42:Q50)</f>
        <v/>
      </c>
      <c r="R41" s="113">
        <f>SUBTOTAL(9,R42:R50)</f>
        <v/>
      </c>
      <c r="S41" s="113">
        <f>SUBTOTAL(9,S42:S50)</f>
        <v/>
      </c>
      <c r="T41" s="113">
        <f>SUBTOTAL(9,T42:T50)</f>
        <v/>
      </c>
      <c r="U41" s="113">
        <f>SUBTOTAL(9,U42:U50)</f>
        <v/>
      </c>
      <c r="V41" s="113">
        <f>SUBTOTAL(9,V42:V50)</f>
        <v/>
      </c>
      <c r="W41" s="113">
        <f>SUBTOTAL(9,W42:W50)</f>
        <v/>
      </c>
      <c r="X41" s="114">
        <f>SUBTOTAL(9,X42:X50)</f>
        <v/>
      </c>
      <c r="Y41" s="112" t="n"/>
      <c r="Z41" s="112" t="inlineStr">
        <is>
          <t>Oferta: 130 ore x 80 EUR/ora (= 16,25 zile x 640 EUR/zi)</t>
        </is>
      </c>
    </row>
    <row r="42">
      <c r="A42" s="115" t="inlineStr">
        <is>
          <t>0.Project Management</t>
        </is>
      </c>
      <c r="B42" s="116" t="inlineStr">
        <is>
          <t>04 Payroll</t>
        </is>
      </c>
      <c r="C42" s="117" t="inlineStr">
        <is>
          <t>05.01</t>
        </is>
      </c>
      <c r="D42" s="117" t="inlineStr">
        <is>
          <t>Kick-off, coordonare, status reports</t>
        </is>
      </c>
      <c r="E42" s="117" t="n"/>
      <c r="F42" s="118" t="n"/>
      <c r="G42" s="119">
        <f>SUM(H42:W42)</f>
        <v/>
      </c>
      <c r="H42" s="120" t="n"/>
      <c r="I42" s="120" t="n"/>
      <c r="J42" s="120" t="n"/>
      <c r="K42" s="120" t="n"/>
      <c r="L42" s="120" t="n"/>
      <c r="M42" s="121" t="n">
        <v>0.5</v>
      </c>
      <c r="N42" s="121" t="n">
        <v>0.5</v>
      </c>
      <c r="O42" s="120" t="n"/>
      <c r="P42" s="120" t="n"/>
      <c r="Q42" s="120" t="n"/>
      <c r="R42" s="120" t="n"/>
      <c r="S42" s="120" t="n"/>
      <c r="T42" s="120" t="n"/>
      <c r="U42" s="120" t="n"/>
      <c r="V42" s="120" t="n"/>
      <c r="W42" s="120" t="n"/>
      <c r="X42" s="122">
        <f>G42*Sumar!$I$9</f>
        <v/>
      </c>
      <c r="Y42" s="123" t="inlineStr">
        <is>
          <t>1.Project Setup</t>
        </is>
      </c>
      <c r="Z42" s="124" t="n"/>
    </row>
    <row r="43">
      <c r="A43" s="115" t="inlineStr">
        <is>
          <t>1.Design</t>
        </is>
      </c>
      <c r="B43" s="116" t="inlineStr">
        <is>
          <t>04 Payroll</t>
        </is>
      </c>
      <c r="C43" s="117" t="inlineStr">
        <is>
          <t>05.02</t>
        </is>
      </c>
      <c r="D43" s="117" t="inlineStr">
        <is>
          <t>Analiza surse de date (pontaj, sporuri, bonuri de masa) si mapare pe Payroll</t>
        </is>
      </c>
      <c r="E43" s="117" t="n"/>
      <c r="F43" s="118" t="n"/>
      <c r="G43" s="119">
        <f>SUM(H43:W43)</f>
        <v/>
      </c>
      <c r="H43" s="120" t="n"/>
      <c r="I43" s="120" t="n"/>
      <c r="J43" s="120" t="n"/>
      <c r="K43" s="120" t="n"/>
      <c r="L43" s="120" t="n"/>
      <c r="M43" s="120" t="n"/>
      <c r="N43" s="121" t="n">
        <v>1</v>
      </c>
      <c r="O43" s="121" t="n">
        <v>1</v>
      </c>
      <c r="P43" s="120" t="n"/>
      <c r="Q43" s="120" t="n"/>
      <c r="R43" s="120" t="n"/>
      <c r="S43" s="120" t="n"/>
      <c r="T43" s="120" t="n"/>
      <c r="U43" s="120" t="n"/>
      <c r="V43" s="120" t="n"/>
      <c r="W43" s="120" t="n"/>
      <c r="X43" s="122">
        <f>G43*Sumar!$I$9</f>
        <v/>
      </c>
      <c r="Y43" s="125" t="inlineStr">
        <is>
          <t>2.Analysis and Design</t>
        </is>
      </c>
      <c r="Z43" s="124" t="n"/>
    </row>
    <row r="44">
      <c r="A44" s="115" t="inlineStr">
        <is>
          <t>1.Design</t>
        </is>
      </c>
      <c r="B44" s="116" t="inlineStr">
        <is>
          <t>04 Payroll</t>
        </is>
      </c>
      <c r="C44" s="117" t="inlineStr">
        <is>
          <t>05.03</t>
        </is>
      </c>
      <c r="D44" s="117" t="inlineStr">
        <is>
          <t>Specificatie integrare, aliniere si validare cu clientul</t>
        </is>
      </c>
      <c r="E44" s="117" t="n"/>
      <c r="F44" s="118" t="n"/>
      <c r="G44" s="119">
        <f>SUM(H44:W44)</f>
        <v/>
      </c>
      <c r="H44" s="120" t="n"/>
      <c r="I44" s="120" t="n"/>
      <c r="J44" s="120" t="n"/>
      <c r="K44" s="120" t="n"/>
      <c r="L44" s="120" t="n"/>
      <c r="M44" s="120" t="n"/>
      <c r="N44" s="121" t="n">
        <v>0.5</v>
      </c>
      <c r="O44" s="120" t="n"/>
      <c r="P44" s="120" t="n"/>
      <c r="Q44" s="121" t="n">
        <v>0.75</v>
      </c>
      <c r="R44" s="120" t="n"/>
      <c r="S44" s="120" t="n"/>
      <c r="T44" s="120" t="n"/>
      <c r="U44" s="120" t="n"/>
      <c r="V44" s="120" t="n"/>
      <c r="W44" s="120" t="n"/>
      <c r="X44" s="122">
        <f>G44*Sumar!$I$9</f>
        <v/>
      </c>
      <c r="Y44" s="125" t="inlineStr">
        <is>
          <t>2.Analysis and Design</t>
        </is>
      </c>
      <c r="Z44" s="124" t="n"/>
    </row>
    <row r="45">
      <c r="A45" s="115" t="inlineStr">
        <is>
          <t>2.Dezvoltare / Integrare</t>
        </is>
      </c>
      <c r="B45" s="116" t="inlineStr">
        <is>
          <t>04 Payroll</t>
        </is>
      </c>
      <c r="C45" s="117" t="inlineStr">
        <is>
          <t>05.04</t>
        </is>
      </c>
      <c r="D45" s="117" t="inlineStr">
        <is>
          <t>Import date salarizare (pontaj, ore, sporuri) in Payroll Charisma</t>
        </is>
      </c>
      <c r="E45" s="117" t="n"/>
      <c r="F45" s="118" t="n"/>
      <c r="G45" s="119">
        <f>SUM(H45:W45)</f>
        <v/>
      </c>
      <c r="H45" s="120" t="n"/>
      <c r="I45" s="120" t="n"/>
      <c r="J45" s="120" t="n"/>
      <c r="K45" s="120" t="n"/>
      <c r="L45" s="120" t="n"/>
      <c r="M45" s="120" t="n"/>
      <c r="N45" s="120" t="n"/>
      <c r="O45" s="120" t="n"/>
      <c r="P45" s="120" t="n"/>
      <c r="Q45" s="121" t="n">
        <v>1</v>
      </c>
      <c r="R45" s="120" t="n"/>
      <c r="S45" s="120" t="n"/>
      <c r="T45" s="120" t="n"/>
      <c r="U45" s="121" t="n">
        <v>3</v>
      </c>
      <c r="V45" s="120" t="n"/>
      <c r="W45" s="120" t="n"/>
      <c r="X45" s="122">
        <f>G45*Sumar!$I$9</f>
        <v/>
      </c>
      <c r="Y45" s="126" t="inlineStr">
        <is>
          <t>3.Build</t>
        </is>
      </c>
      <c r="Z45" s="124" t="n"/>
    </row>
    <row r="46">
      <c r="A46" s="115" t="inlineStr">
        <is>
          <t>2.Dezvoltare / Integrare</t>
        </is>
      </c>
      <c r="B46" s="116" t="inlineStr">
        <is>
          <t>04 Payroll</t>
        </is>
      </c>
      <c r="C46" s="117" t="inlineStr">
        <is>
          <t>05.05</t>
        </is>
      </c>
      <c r="D46" s="117" t="inlineStr">
        <is>
          <t>Import / calcul bonuri de masa (zile lucrate, absente)</t>
        </is>
      </c>
      <c r="E46" s="117" t="n"/>
      <c r="F46" s="118" t="n"/>
      <c r="G46" s="119">
        <f>SUM(H46:W46)</f>
        <v/>
      </c>
      <c r="H46" s="120" t="n"/>
      <c r="I46" s="120" t="n"/>
      <c r="J46" s="120" t="n"/>
      <c r="K46" s="120" t="n"/>
      <c r="L46" s="120" t="n"/>
      <c r="M46" s="120" t="n"/>
      <c r="N46" s="120" t="n"/>
      <c r="O46" s="120" t="n"/>
      <c r="P46" s="120" t="n"/>
      <c r="Q46" s="121" t="n">
        <v>0.5</v>
      </c>
      <c r="R46" s="120" t="n"/>
      <c r="S46" s="120" t="n"/>
      <c r="T46" s="120" t="n"/>
      <c r="U46" s="121" t="n">
        <v>2</v>
      </c>
      <c r="V46" s="120" t="n"/>
      <c r="W46" s="120" t="n"/>
      <c r="X46" s="122">
        <f>G46*Sumar!$I$9</f>
        <v/>
      </c>
      <c r="Y46" s="126" t="inlineStr">
        <is>
          <t>3.Build</t>
        </is>
      </c>
      <c r="Z46" s="124" t="n"/>
    </row>
    <row r="47">
      <c r="A47" s="115" t="inlineStr">
        <is>
          <t>2.Dezvoltare / Integrare</t>
        </is>
      </c>
      <c r="B47" s="116" t="inlineStr">
        <is>
          <t>04 Payroll</t>
        </is>
      </c>
      <c r="C47" s="117" t="inlineStr">
        <is>
          <t>05.06</t>
        </is>
      </c>
      <c r="D47" s="117" t="inlineStr">
        <is>
          <t>Validari, rapoarte de control si jurnal import</t>
        </is>
      </c>
      <c r="E47" s="117" t="n"/>
      <c r="F47" s="118" t="n"/>
      <c r="G47" s="119">
        <f>SUM(H47:W47)</f>
        <v/>
      </c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1" t="n">
        <v>0.5</v>
      </c>
      <c r="R47" s="120" t="n"/>
      <c r="S47" s="120" t="n"/>
      <c r="T47" s="120" t="n"/>
      <c r="U47" s="121" t="n">
        <v>1</v>
      </c>
      <c r="V47" s="120" t="n"/>
      <c r="W47" s="120" t="n"/>
      <c r="X47" s="122">
        <f>G47*Sumar!$I$9</f>
        <v/>
      </c>
      <c r="Y47" s="126" t="inlineStr">
        <is>
          <t>3.Build</t>
        </is>
      </c>
      <c r="Z47" s="124" t="n"/>
    </row>
    <row r="48">
      <c r="A48" s="115" t="inlineStr">
        <is>
          <t>6.Testare</t>
        </is>
      </c>
      <c r="B48" s="116" t="inlineStr">
        <is>
          <t>04 Payroll</t>
        </is>
      </c>
      <c r="C48" s="117" t="inlineStr">
        <is>
          <t>05.07</t>
        </is>
      </c>
      <c r="D48" s="117" t="inlineStr">
        <is>
          <t>Testare in paralel pe o luna de salarizare</t>
        </is>
      </c>
      <c r="E48" s="117" t="n"/>
      <c r="F48" s="118" t="n"/>
      <c r="G48" s="119">
        <f>SUM(H48:W48)</f>
        <v/>
      </c>
      <c r="H48" s="120" t="n"/>
      <c r="I48" s="120" t="n"/>
      <c r="J48" s="120" t="n"/>
      <c r="K48" s="120" t="n"/>
      <c r="L48" s="120" t="n"/>
      <c r="M48" s="120" t="n"/>
      <c r="N48" s="120" t="n"/>
      <c r="O48" s="121" t="n">
        <v>1</v>
      </c>
      <c r="P48" s="120" t="n"/>
      <c r="Q48" s="120" t="n"/>
      <c r="R48" s="121" t="n">
        <v>1</v>
      </c>
      <c r="S48" s="120" t="n"/>
      <c r="T48" s="120" t="n"/>
      <c r="U48" s="120" t="n"/>
      <c r="V48" s="120" t="n"/>
      <c r="W48" s="120" t="n"/>
      <c r="X48" s="122">
        <f>G48*Sumar!$I$9</f>
        <v/>
      </c>
      <c r="Y48" s="127" t="inlineStr">
        <is>
          <t>4.Test &amp; Training</t>
        </is>
      </c>
      <c r="Z48" s="124" t="n"/>
    </row>
    <row r="49">
      <c r="A49" s="115" t="inlineStr">
        <is>
          <t>5.Training</t>
        </is>
      </c>
      <c r="B49" s="116" t="inlineStr">
        <is>
          <t>04 Payroll</t>
        </is>
      </c>
      <c r="C49" s="117" t="inlineStr">
        <is>
          <t>05.08</t>
        </is>
      </c>
      <c r="D49" s="117" t="inlineStr">
        <is>
          <t>Training utilizatori HR / salarizare</t>
        </is>
      </c>
      <c r="E49" s="117" t="n"/>
      <c r="F49" s="118" t="n"/>
      <c r="G49" s="119">
        <f>SUM(H49:W49)</f>
        <v/>
      </c>
      <c r="H49" s="120" t="n"/>
      <c r="I49" s="120" t="n"/>
      <c r="J49" s="120" t="n"/>
      <c r="K49" s="120" t="n"/>
      <c r="L49" s="120" t="n"/>
      <c r="M49" s="120" t="n"/>
      <c r="N49" s="120" t="n"/>
      <c r="O49" s="121" t="n">
        <v>1</v>
      </c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2">
        <f>G49*Sumar!$I$9</f>
        <v/>
      </c>
      <c r="Y49" s="127" t="inlineStr">
        <is>
          <t>4.Test &amp; Training</t>
        </is>
      </c>
      <c r="Z49" s="124" t="n"/>
    </row>
    <row r="50">
      <c r="A50" s="115" t="inlineStr">
        <is>
          <t>7.Intrare in productie</t>
        </is>
      </c>
      <c r="B50" s="116" t="inlineStr">
        <is>
          <t>04 Payroll</t>
        </is>
      </c>
      <c r="C50" s="117" t="inlineStr">
        <is>
          <t>05.09</t>
        </is>
      </c>
      <c r="D50" s="117" t="inlineStr">
        <is>
          <t>Prima rulare in productie, suport la inchiderea de luna</t>
        </is>
      </c>
      <c r="E50" s="117" t="n"/>
      <c r="F50" s="118" t="n"/>
      <c r="G50" s="119">
        <f>SUM(H50:W50)</f>
        <v/>
      </c>
      <c r="H50" s="120" t="n"/>
      <c r="I50" s="120" t="n"/>
      <c r="J50" s="120" t="n"/>
      <c r="K50" s="120" t="n"/>
      <c r="L50" s="120" t="n"/>
      <c r="M50" s="120" t="n"/>
      <c r="N50" s="120" t="n"/>
      <c r="O50" s="121" t="n">
        <v>0.5</v>
      </c>
      <c r="P50" s="120" t="n"/>
      <c r="Q50" s="121" t="n">
        <v>0.5</v>
      </c>
      <c r="R50" s="120" t="n"/>
      <c r="S50" s="120" t="n"/>
      <c r="T50" s="120" t="n"/>
      <c r="U50" s="120" t="n"/>
      <c r="V50" s="120" t="n"/>
      <c r="W50" s="120" t="n"/>
      <c r="X50" s="122">
        <f>G50*Sumar!$I$9</f>
        <v/>
      </c>
      <c r="Y50" s="128" t="inlineStr">
        <is>
          <t>5.Go-Live &amp; Hypercare</t>
        </is>
      </c>
      <c r="Z50" s="124" t="n"/>
    </row>
    <row r="51">
      <c r="A51" s="112" t="inlineStr">
        <is>
          <t>Livrabil</t>
        </is>
      </c>
      <c r="B51" s="112" t="inlineStr">
        <is>
          <t>05 Etichete (total)</t>
        </is>
      </c>
      <c r="C51" s="112" t="inlineStr">
        <is>
          <t>06</t>
        </is>
      </c>
      <c r="D51" s="112" t="inlineStr">
        <is>
          <t>5. Generare si Transfer Automat Etichete per Lansare de Productie</t>
        </is>
      </c>
      <c r="E51" s="112" t="n"/>
      <c r="F51" s="112" t="n"/>
      <c r="G51" s="113">
        <f>SUBTOTAL(9,G52:G61)</f>
        <v/>
      </c>
      <c r="H51" s="113">
        <f>SUBTOTAL(9,H52:H61)</f>
        <v/>
      </c>
      <c r="I51" s="113">
        <f>SUBTOTAL(9,I52:I61)</f>
        <v/>
      </c>
      <c r="J51" s="113">
        <f>SUBTOTAL(9,J52:J61)</f>
        <v/>
      </c>
      <c r="K51" s="113">
        <f>SUBTOTAL(9,K52:K61)</f>
        <v/>
      </c>
      <c r="L51" s="113">
        <f>SUBTOTAL(9,L52:L61)</f>
        <v/>
      </c>
      <c r="M51" s="113">
        <f>SUBTOTAL(9,M52:M61)</f>
        <v/>
      </c>
      <c r="N51" s="113">
        <f>SUBTOTAL(9,N52:N61)</f>
        <v/>
      </c>
      <c r="O51" s="113">
        <f>SUBTOTAL(9,O52:O61)</f>
        <v/>
      </c>
      <c r="P51" s="113">
        <f>SUBTOTAL(9,P52:P61)</f>
        <v/>
      </c>
      <c r="Q51" s="113">
        <f>SUBTOTAL(9,Q52:Q61)</f>
        <v/>
      </c>
      <c r="R51" s="113">
        <f>SUBTOTAL(9,R52:R61)</f>
        <v/>
      </c>
      <c r="S51" s="113">
        <f>SUBTOTAL(9,S52:S61)</f>
        <v/>
      </c>
      <c r="T51" s="113">
        <f>SUBTOTAL(9,T52:T61)</f>
        <v/>
      </c>
      <c r="U51" s="113">
        <f>SUBTOTAL(9,U52:U61)</f>
        <v/>
      </c>
      <c r="V51" s="113">
        <f>SUBTOTAL(9,V52:V61)</f>
        <v/>
      </c>
      <c r="W51" s="113">
        <f>SUBTOTAL(9,W52:W61)</f>
        <v/>
      </c>
      <c r="X51" s="114">
        <f>SUBTOTAL(9,X52:X61)</f>
        <v/>
      </c>
      <c r="Y51" s="112" t="n"/>
      <c r="Z51" s="112" t="inlineStr">
        <is>
          <t>Oferta: 20 zile/om x 700 EUR/zi</t>
        </is>
      </c>
    </row>
    <row r="52">
      <c r="A52" s="115" t="inlineStr">
        <is>
          <t>0.Project Management</t>
        </is>
      </c>
      <c r="B52" s="116" t="inlineStr">
        <is>
          <t>05 Etichete</t>
        </is>
      </c>
      <c r="C52" s="117" t="inlineStr">
        <is>
          <t>06.01</t>
        </is>
      </c>
      <c r="D52" s="117" t="inlineStr">
        <is>
          <t>Kick-off, status reports, steering</t>
        </is>
      </c>
      <c r="E52" s="117" t="n"/>
      <c r="F52" s="118" t="n"/>
      <c r="G52" s="119">
        <f>SUM(H52:W52)</f>
        <v/>
      </c>
      <c r="H52" s="120" t="n"/>
      <c r="I52" s="120" t="n"/>
      <c r="J52" s="120" t="n"/>
      <c r="K52" s="120" t="n"/>
      <c r="L52" s="120" t="n"/>
      <c r="M52" s="121" t="n">
        <v>1</v>
      </c>
      <c r="N52" s="121" t="n">
        <v>0.5</v>
      </c>
      <c r="O52" s="120" t="n"/>
      <c r="P52" s="120" t="n"/>
      <c r="Q52" s="120" t="n"/>
      <c r="R52" s="120" t="n"/>
      <c r="S52" s="120" t="n"/>
      <c r="T52" s="120" t="n"/>
      <c r="U52" s="120" t="n"/>
      <c r="V52" s="120" t="n"/>
      <c r="W52" s="120" t="n"/>
      <c r="X52" s="122">
        <f>G52*Sumar!$I$10</f>
        <v/>
      </c>
      <c r="Y52" s="123" t="inlineStr">
        <is>
          <t>1.Project Setup</t>
        </is>
      </c>
      <c r="Z52" s="124" t="n"/>
    </row>
    <row r="53">
      <c r="A53" s="115" t="inlineStr">
        <is>
          <t>1.Design</t>
        </is>
      </c>
      <c r="B53" s="116" t="inlineStr">
        <is>
          <t>05 Etichete</t>
        </is>
      </c>
      <c r="C53" s="117" t="inlineStr">
        <is>
          <t>06.02</t>
        </is>
      </c>
      <c r="D53" s="117" t="inlineStr">
        <is>
          <t>Analiza cerinte etichetare (tipuri etichete, continut, coduri de bare, imprimante)</t>
        </is>
      </c>
      <c r="E53" s="117" t="n"/>
      <c r="F53" s="118" t="n"/>
      <c r="G53" s="119">
        <f>SUM(H53:W53)</f>
        <v/>
      </c>
      <c r="H53" s="120" t="n"/>
      <c r="I53" s="120" t="n"/>
      <c r="J53" s="120" t="n"/>
      <c r="K53" s="120" t="n"/>
      <c r="L53" s="120" t="n"/>
      <c r="M53" s="120" t="n"/>
      <c r="N53" s="121" t="n">
        <v>1</v>
      </c>
      <c r="O53" s="121" t="n">
        <v>1</v>
      </c>
      <c r="P53" s="120" t="n"/>
      <c r="Q53" s="120" t="n"/>
      <c r="R53" s="120" t="n"/>
      <c r="S53" s="120" t="n"/>
      <c r="T53" s="120" t="n"/>
      <c r="U53" s="120" t="n"/>
      <c r="V53" s="120" t="n"/>
      <c r="W53" s="120" t="n"/>
      <c r="X53" s="122">
        <f>G53*Sumar!$I$10</f>
        <v/>
      </c>
      <c r="Y53" s="125" t="inlineStr">
        <is>
          <t>2.Analysis and Design</t>
        </is>
      </c>
      <c r="Z53" s="124" t="n"/>
    </row>
    <row r="54">
      <c r="A54" s="115" t="inlineStr">
        <is>
          <t>1.Design</t>
        </is>
      </c>
      <c r="B54" s="116" t="inlineStr">
        <is>
          <t>05 Etichete</t>
        </is>
      </c>
      <c r="C54" s="117" t="inlineStr">
        <is>
          <t>06.03</t>
        </is>
      </c>
      <c r="D54" s="117" t="inlineStr">
        <is>
          <t>Specificatie si machete etichete, validare cu clientul</t>
        </is>
      </c>
      <c r="E54" s="117" t="n"/>
      <c r="F54" s="118" t="n"/>
      <c r="G54" s="119">
        <f>SUM(H54:W54)</f>
        <v/>
      </c>
      <c r="H54" s="120" t="n"/>
      <c r="I54" s="120" t="n"/>
      <c r="J54" s="120" t="n"/>
      <c r="K54" s="120" t="n"/>
      <c r="L54" s="120" t="n"/>
      <c r="M54" s="120" t="n"/>
      <c r="N54" s="121" t="n">
        <v>0.5</v>
      </c>
      <c r="O54" s="121" t="n">
        <v>1</v>
      </c>
      <c r="P54" s="120" t="n"/>
      <c r="Q54" s="121" t="n">
        <v>0.5</v>
      </c>
      <c r="R54" s="120" t="n"/>
      <c r="S54" s="120" t="n"/>
      <c r="T54" s="120" t="n"/>
      <c r="U54" s="120" t="n"/>
      <c r="V54" s="120" t="n"/>
      <c r="W54" s="120" t="n"/>
      <c r="X54" s="122">
        <f>G54*Sumar!$I$10</f>
        <v/>
      </c>
      <c r="Y54" s="125" t="inlineStr">
        <is>
          <t>2.Analysis and Design</t>
        </is>
      </c>
      <c r="Z54" s="124" t="n"/>
    </row>
    <row r="55">
      <c r="A55" s="115" t="inlineStr">
        <is>
          <t>2.Configurari</t>
        </is>
      </c>
      <c r="B55" s="116" t="inlineStr">
        <is>
          <t>05 Etichete</t>
        </is>
      </c>
      <c r="C55" s="117" t="inlineStr">
        <is>
          <t>06.04</t>
        </is>
      </c>
      <c r="D55" s="117" t="inlineStr">
        <is>
          <t>Configurare atribute si parametri etichete pe articol / lansare</t>
        </is>
      </c>
      <c r="E55" s="117" t="n"/>
      <c r="F55" s="118" t="n"/>
      <c r="G55" s="119">
        <f>SUM(H55:W55)</f>
        <v/>
      </c>
      <c r="H55" s="120" t="n"/>
      <c r="I55" s="120" t="n"/>
      <c r="J55" s="120" t="n"/>
      <c r="K55" s="120" t="n"/>
      <c r="L55" s="120" t="n"/>
      <c r="M55" s="120" t="n"/>
      <c r="N55" s="120" t="n"/>
      <c r="O55" s="121" t="n">
        <v>1</v>
      </c>
      <c r="P55" s="120" t="n"/>
      <c r="Q55" s="120" t="n"/>
      <c r="R55" s="121" t="n">
        <v>1</v>
      </c>
      <c r="S55" s="120" t="n"/>
      <c r="T55" s="120" t="n"/>
      <c r="U55" s="120" t="n"/>
      <c r="V55" s="120" t="n"/>
      <c r="W55" s="120" t="n"/>
      <c r="X55" s="122">
        <f>G55*Sumar!$I$10</f>
        <v/>
      </c>
      <c r="Y55" s="126" t="inlineStr">
        <is>
          <t>3.Build</t>
        </is>
      </c>
      <c r="Z55" s="124" t="n"/>
    </row>
    <row r="56">
      <c r="A56" s="115" t="inlineStr">
        <is>
          <t>2.Dezvoltare / Integrare</t>
        </is>
      </c>
      <c r="B56" s="116" t="inlineStr">
        <is>
          <t>05 Etichete</t>
        </is>
      </c>
      <c r="C56" s="117" t="inlineStr">
        <is>
          <t>06.05</t>
        </is>
      </c>
      <c r="D56" s="117" t="inlineStr">
        <is>
          <t>Generare automata etichete la lansarea in productie (reguli, numerotare, loturi/serii)</t>
        </is>
      </c>
      <c r="E56" s="117" t="n"/>
      <c r="F56" s="118" t="n"/>
      <c r="G56" s="119">
        <f>SUM(H56:W56)</f>
        <v/>
      </c>
      <c r="H56" s="120" t="n"/>
      <c r="I56" s="120" t="n"/>
      <c r="J56" s="120" t="n"/>
      <c r="K56" s="120" t="n"/>
      <c r="L56" s="120" t="n"/>
      <c r="M56" s="120" t="n"/>
      <c r="N56" s="120" t="n"/>
      <c r="O56" s="120" t="n"/>
      <c r="P56" s="120" t="n"/>
      <c r="Q56" s="121" t="n">
        <v>1</v>
      </c>
      <c r="R56" s="120" t="n"/>
      <c r="S56" s="120" t="n"/>
      <c r="T56" s="120" t="n"/>
      <c r="U56" s="121" t="n">
        <v>3</v>
      </c>
      <c r="V56" s="120" t="n"/>
      <c r="W56" s="120" t="n"/>
      <c r="X56" s="122">
        <f>G56*Sumar!$I$10</f>
        <v/>
      </c>
      <c r="Y56" s="126" t="inlineStr">
        <is>
          <t>3.Build</t>
        </is>
      </c>
      <c r="Z56" s="124" t="n"/>
    </row>
    <row r="57">
      <c r="A57" s="115" t="inlineStr">
        <is>
          <t>2.Dezvoltare / Integrare</t>
        </is>
      </c>
      <c r="B57" s="116" t="inlineStr">
        <is>
          <t>05 Etichete</t>
        </is>
      </c>
      <c r="C57" s="117" t="inlineStr">
        <is>
          <t>06.06</t>
        </is>
      </c>
      <c r="D57" s="117" t="inlineStr">
        <is>
          <t>Transfer automat catre imprimante / sistemul de etichetare</t>
        </is>
      </c>
      <c r="E57" s="117" t="n"/>
      <c r="F57" s="118" t="n"/>
      <c r="G57" s="119">
        <f>SUM(H57:W57)</f>
        <v/>
      </c>
      <c r="H57" s="120" t="n"/>
      <c r="I57" s="120" t="n"/>
      <c r="J57" s="120" t="n"/>
      <c r="K57" s="120" t="n"/>
      <c r="L57" s="120" t="n"/>
      <c r="M57" s="120" t="n"/>
      <c r="N57" s="120" t="n"/>
      <c r="O57" s="120" t="n"/>
      <c r="P57" s="120" t="n"/>
      <c r="Q57" s="121" t="n">
        <v>1</v>
      </c>
      <c r="R57" s="120" t="n"/>
      <c r="S57" s="120" t="n"/>
      <c r="T57" s="120" t="n"/>
      <c r="U57" s="121" t="n">
        <v>2.5</v>
      </c>
      <c r="V57" s="120" t="n"/>
      <c r="W57" s="120" t="n"/>
      <c r="X57" s="122">
        <f>G57*Sumar!$I$10</f>
        <v/>
      </c>
      <c r="Y57" s="126" t="inlineStr">
        <is>
          <t>3.Build</t>
        </is>
      </c>
      <c r="Z57" s="124" t="n"/>
    </row>
    <row r="58">
      <c r="A58" s="115" t="inlineStr">
        <is>
          <t>2.Dezvoltare / Integrare</t>
        </is>
      </c>
      <c r="B58" s="116" t="inlineStr">
        <is>
          <t>05 Etichete</t>
        </is>
      </c>
      <c r="C58" s="117" t="inlineStr">
        <is>
          <t>06.07</t>
        </is>
      </c>
      <c r="D58" s="117" t="inlineStr">
        <is>
          <t>Realizare machete etichete (design rapoarte)</t>
        </is>
      </c>
      <c r="E58" s="117" t="n"/>
      <c r="F58" s="118" t="n"/>
      <c r="G58" s="119">
        <f>SUM(H58:W58)</f>
        <v/>
      </c>
      <c r="H58" s="120" t="n"/>
      <c r="I58" s="120" t="n"/>
      <c r="J58" s="120" t="n"/>
      <c r="K58" s="120" t="n"/>
      <c r="L58" s="120" t="n"/>
      <c r="M58" s="120" t="n"/>
      <c r="N58" s="120" t="n"/>
      <c r="O58" s="120" t="n"/>
      <c r="P58" s="120" t="n"/>
      <c r="Q58" s="120" t="n"/>
      <c r="R58" s="121" t="n">
        <v>1.5</v>
      </c>
      <c r="S58" s="120" t="n"/>
      <c r="T58" s="120" t="n"/>
      <c r="U58" s="120" t="n"/>
      <c r="V58" s="120" t="n"/>
      <c r="W58" s="120" t="n"/>
      <c r="X58" s="122">
        <f>G58*Sumar!$I$10</f>
        <v/>
      </c>
      <c r="Y58" s="126" t="inlineStr">
        <is>
          <t>3.Build</t>
        </is>
      </c>
      <c r="Z58" s="124" t="n"/>
    </row>
    <row r="59">
      <c r="A59" s="115" t="inlineStr">
        <is>
          <t>6.Testare</t>
        </is>
      </c>
      <c r="B59" s="116" t="inlineStr">
        <is>
          <t>05 Etichete</t>
        </is>
      </c>
      <c r="C59" s="117" t="inlineStr">
        <is>
          <t>06.08</t>
        </is>
      </c>
      <c r="D59" s="117" t="inlineStr">
        <is>
          <t>Factory testing cu imprimantele reale</t>
        </is>
      </c>
      <c r="E59" s="117" t="n"/>
      <c r="F59" s="118" t="n"/>
      <c r="G59" s="119">
        <f>SUM(H59:W59)</f>
        <v/>
      </c>
      <c r="H59" s="120" t="n"/>
      <c r="I59" s="120" t="n"/>
      <c r="J59" s="120" t="n"/>
      <c r="K59" s="120" t="n"/>
      <c r="L59" s="120" t="n"/>
      <c r="M59" s="120" t="n"/>
      <c r="N59" s="120" t="n"/>
      <c r="O59" s="121" t="n">
        <v>0.5</v>
      </c>
      <c r="P59" s="120" t="n"/>
      <c r="Q59" s="120" t="n"/>
      <c r="R59" s="121" t="n">
        <v>1</v>
      </c>
      <c r="S59" s="120" t="n"/>
      <c r="T59" s="120" t="n"/>
      <c r="U59" s="120" t="n"/>
      <c r="V59" s="120" t="n"/>
      <c r="W59" s="120" t="n"/>
      <c r="X59" s="122">
        <f>G59*Sumar!$I$10</f>
        <v/>
      </c>
      <c r="Y59" s="127" t="inlineStr">
        <is>
          <t>4.Test &amp; Training</t>
        </is>
      </c>
      <c r="Z59" s="124" t="n"/>
    </row>
    <row r="60">
      <c r="A60" s="115" t="inlineStr">
        <is>
          <t>5.Training</t>
        </is>
      </c>
      <c r="B60" s="116" t="inlineStr">
        <is>
          <t>05 Etichete</t>
        </is>
      </c>
      <c r="C60" s="117" t="inlineStr">
        <is>
          <t>06.09</t>
        </is>
      </c>
      <c r="D60" s="117" t="inlineStr">
        <is>
          <t>Training utilizatori productie</t>
        </is>
      </c>
      <c r="E60" s="117" t="n"/>
      <c r="F60" s="118" t="n"/>
      <c r="G60" s="119">
        <f>SUM(H60:W60)</f>
        <v/>
      </c>
      <c r="H60" s="120" t="n"/>
      <c r="I60" s="120" t="n"/>
      <c r="J60" s="120" t="n"/>
      <c r="K60" s="120" t="n"/>
      <c r="L60" s="120" t="n"/>
      <c r="M60" s="120" t="n"/>
      <c r="N60" s="120" t="n"/>
      <c r="O60" s="121" t="n">
        <v>1</v>
      </c>
      <c r="P60" s="120" t="n"/>
      <c r="Q60" s="120" t="n"/>
      <c r="R60" s="120" t="n"/>
      <c r="S60" s="120" t="n"/>
      <c r="T60" s="120" t="n"/>
      <c r="U60" s="120" t="n"/>
      <c r="V60" s="120" t="n"/>
      <c r="W60" s="120" t="n"/>
      <c r="X60" s="122">
        <f>G60*Sumar!$I$10</f>
        <v/>
      </c>
      <c r="Y60" s="127" t="inlineStr">
        <is>
          <t>4.Test &amp; Training</t>
        </is>
      </c>
      <c r="Z60" s="124" t="n"/>
    </row>
    <row r="61">
      <c r="A61" s="115" t="inlineStr">
        <is>
          <t>7.Intrare in productie</t>
        </is>
      </c>
      <c r="B61" s="116" t="inlineStr">
        <is>
          <t>05 Etichete</t>
        </is>
      </c>
      <c r="C61" s="117" t="inlineStr">
        <is>
          <t>06.10</t>
        </is>
      </c>
      <c r="D61" s="117" t="inlineStr">
        <is>
          <t>Intrare in productie si asistenta pentru stabilizare</t>
        </is>
      </c>
      <c r="E61" s="117" t="n"/>
      <c r="F61" s="118" t="n"/>
      <c r="G61" s="119">
        <f>SUM(H61:W61)</f>
        <v/>
      </c>
      <c r="H61" s="120" t="n"/>
      <c r="I61" s="120" t="n"/>
      <c r="J61" s="120" t="n"/>
      <c r="K61" s="120" t="n"/>
      <c r="L61" s="120" t="n"/>
      <c r="M61" s="120" t="n"/>
      <c r="N61" s="120" t="n"/>
      <c r="O61" s="121" t="n">
        <v>0.5</v>
      </c>
      <c r="P61" s="120" t="n"/>
      <c r="Q61" s="120" t="n"/>
      <c r="R61" s="121" t="n">
        <v>0.5</v>
      </c>
      <c r="S61" s="120" t="n"/>
      <c r="T61" s="120" t="n"/>
      <c r="U61" s="120" t="n"/>
      <c r="V61" s="120" t="n"/>
      <c r="W61" s="120" t="n"/>
      <c r="X61" s="122">
        <f>G61*Sumar!$I$10</f>
        <v/>
      </c>
      <c r="Y61" s="128" t="inlineStr">
        <is>
          <t>5.Go-Live &amp; Hypercare</t>
        </is>
      </c>
      <c r="Z61" s="124" t="n"/>
    </row>
    <row r="62">
      <c r="A62" s="112" t="inlineStr">
        <is>
          <t>Livrabil</t>
        </is>
      </c>
      <c r="B62" s="112" t="inlineStr">
        <is>
          <t>06 PLM (total)</t>
        </is>
      </c>
      <c r="C62" s="112" t="inlineStr">
        <is>
          <t>07</t>
        </is>
      </c>
      <c r="D62" s="112" t="inlineStr">
        <is>
          <t>6. Integrare Aplicatie PLM externa &lt;-&gt; Charisma ERP</t>
        </is>
      </c>
      <c r="E62" s="112" t="n"/>
      <c r="F62" s="112" t="n"/>
      <c r="G62" s="113">
        <f>SUBTOTAL(9,G63:G70)</f>
        <v/>
      </c>
      <c r="H62" s="113">
        <f>SUBTOTAL(9,H63:H70)</f>
        <v/>
      </c>
      <c r="I62" s="113">
        <f>SUBTOTAL(9,I63:I70)</f>
        <v/>
      </c>
      <c r="J62" s="113">
        <f>SUBTOTAL(9,J63:J70)</f>
        <v/>
      </c>
      <c r="K62" s="113">
        <f>SUBTOTAL(9,K63:K70)</f>
        <v/>
      </c>
      <c r="L62" s="113">
        <f>SUBTOTAL(9,L63:L70)</f>
        <v/>
      </c>
      <c r="M62" s="113">
        <f>SUBTOTAL(9,M63:M70)</f>
        <v/>
      </c>
      <c r="N62" s="113">
        <f>SUBTOTAL(9,N63:N70)</f>
        <v/>
      </c>
      <c r="O62" s="113">
        <f>SUBTOTAL(9,O63:O70)</f>
        <v/>
      </c>
      <c r="P62" s="113">
        <f>SUBTOTAL(9,P63:P70)</f>
        <v/>
      </c>
      <c r="Q62" s="113">
        <f>SUBTOTAL(9,Q63:Q70)</f>
        <v/>
      </c>
      <c r="R62" s="113">
        <f>SUBTOTAL(9,R63:R70)</f>
        <v/>
      </c>
      <c r="S62" s="113">
        <f>SUBTOTAL(9,S63:S70)</f>
        <v/>
      </c>
      <c r="T62" s="113">
        <f>SUBTOTAL(9,T63:T70)</f>
        <v/>
      </c>
      <c r="U62" s="113">
        <f>SUBTOTAL(9,U63:U70)</f>
        <v/>
      </c>
      <c r="V62" s="113">
        <f>SUBTOTAL(9,V63:V70)</f>
        <v/>
      </c>
      <c r="W62" s="113">
        <f>SUBTOTAL(9,W63:W70)</f>
        <v/>
      </c>
      <c r="X62" s="114">
        <f>SUBTOTAL(9,X63:X70)</f>
        <v/>
      </c>
      <c r="Y62" s="112" t="n"/>
      <c r="Z62" s="112" t="inlineStr">
        <is>
          <t>Oferta: 16 zile/om x 700 EUR/zi</t>
        </is>
      </c>
    </row>
    <row r="63">
      <c r="A63" s="115" t="inlineStr">
        <is>
          <t>0.Project Management</t>
        </is>
      </c>
      <c r="B63" s="116" t="inlineStr">
        <is>
          <t>06 PLM</t>
        </is>
      </c>
      <c r="C63" s="117" t="inlineStr">
        <is>
          <t>07.01</t>
        </is>
      </c>
      <c r="D63" s="117" t="inlineStr">
        <is>
          <t>Kick-off, coordonare cu furnizorul PLM, status reports</t>
        </is>
      </c>
      <c r="E63" s="117" t="n"/>
      <c r="F63" s="118" t="n"/>
      <c r="G63" s="119">
        <f>SUM(H63:W63)</f>
        <v/>
      </c>
      <c r="H63" s="120" t="n"/>
      <c r="I63" s="120" t="n"/>
      <c r="J63" s="120" t="n"/>
      <c r="K63" s="120" t="n"/>
      <c r="L63" s="120" t="n"/>
      <c r="M63" s="121" t="n">
        <v>0.5</v>
      </c>
      <c r="N63" s="121" t="n">
        <v>0.5</v>
      </c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  <c r="X63" s="122">
        <f>G63*Sumar!$I$11</f>
        <v/>
      </c>
      <c r="Y63" s="123" t="inlineStr">
        <is>
          <t>1.Project Setup</t>
        </is>
      </c>
      <c r="Z63" s="124" t="n"/>
    </row>
    <row r="64">
      <c r="A64" s="115" t="inlineStr">
        <is>
          <t>1.Design</t>
        </is>
      </c>
      <c r="B64" s="116" t="inlineStr">
        <is>
          <t>06 PLM</t>
        </is>
      </c>
      <c r="C64" s="117" t="inlineStr">
        <is>
          <t>07.02</t>
        </is>
      </c>
      <c r="D64" s="117" t="inlineStr">
        <is>
          <t>Analiza si mapare date (articole, BOM/retete, revizii, fise tehnice)</t>
        </is>
      </c>
      <c r="E64" s="117" t="n"/>
      <c r="F64" s="118" t="n"/>
      <c r="G64" s="119">
        <f>SUM(H64:W64)</f>
        <v/>
      </c>
      <c r="H64" s="120" t="n"/>
      <c r="I64" s="120" t="n"/>
      <c r="J64" s="120" t="n"/>
      <c r="K64" s="120" t="n"/>
      <c r="L64" s="120" t="n"/>
      <c r="M64" s="120" t="n"/>
      <c r="N64" s="121" t="n">
        <v>1</v>
      </c>
      <c r="O64" s="120" t="n"/>
      <c r="P64" s="120" t="n"/>
      <c r="Q64" s="121" t="n">
        <v>1.5</v>
      </c>
      <c r="R64" s="120" t="n"/>
      <c r="S64" s="120" t="n"/>
      <c r="T64" s="120" t="n"/>
      <c r="U64" s="120" t="n"/>
      <c r="V64" s="120" t="n"/>
      <c r="W64" s="120" t="n"/>
      <c r="X64" s="122">
        <f>G64*Sumar!$I$11</f>
        <v/>
      </c>
      <c r="Y64" s="125" t="inlineStr">
        <is>
          <t>2.Analysis and Design</t>
        </is>
      </c>
      <c r="Z64" s="124" t="n"/>
    </row>
    <row r="65">
      <c r="A65" s="115" t="inlineStr">
        <is>
          <t>1.Design</t>
        </is>
      </c>
      <c r="B65" s="116" t="inlineStr">
        <is>
          <t>06 PLM</t>
        </is>
      </c>
      <c r="C65" s="117" t="inlineStr">
        <is>
          <t>07.03</t>
        </is>
      </c>
      <c r="D65" s="117" t="inlineStr">
        <is>
          <t>Specificatie tehnica integrare</t>
        </is>
      </c>
      <c r="E65" s="117" t="n"/>
      <c r="F65" s="118" t="n"/>
      <c r="G65" s="119">
        <f>SUM(H65:W65)</f>
        <v/>
      </c>
      <c r="H65" s="120" t="n"/>
      <c r="I65" s="120" t="n"/>
      <c r="J65" s="120" t="n"/>
      <c r="K65" s="120" t="n"/>
      <c r="L65" s="120" t="n"/>
      <c r="M65" s="120" t="n"/>
      <c r="N65" s="120" t="n"/>
      <c r="O65" s="120" t="n"/>
      <c r="P65" s="120" t="n"/>
      <c r="Q65" s="121" t="n">
        <v>1</v>
      </c>
      <c r="R65" s="120" t="n"/>
      <c r="S65" s="120" t="n"/>
      <c r="T65" s="120" t="n"/>
      <c r="U65" s="121" t="n">
        <v>0.5</v>
      </c>
      <c r="V65" s="120" t="n"/>
      <c r="W65" s="120" t="n"/>
      <c r="X65" s="122">
        <f>G65*Sumar!$I$11</f>
        <v/>
      </c>
      <c r="Y65" s="125" t="inlineStr">
        <is>
          <t>2.Analysis and Design</t>
        </is>
      </c>
      <c r="Z65" s="124" t="n"/>
    </row>
    <row r="66">
      <c r="A66" s="115" t="inlineStr">
        <is>
          <t>2.Dezvoltare / Integrare</t>
        </is>
      </c>
      <c r="B66" s="116" t="inlineStr">
        <is>
          <t>06 PLM</t>
        </is>
      </c>
      <c r="C66" s="117" t="inlineStr">
        <is>
          <t>07.04</t>
        </is>
      </c>
      <c r="D66" s="117" t="inlineStr">
        <is>
          <t>Import articole si atribute PLM -&gt; Charisma</t>
        </is>
      </c>
      <c r="E66" s="117" t="n"/>
      <c r="F66" s="118" t="n"/>
      <c r="G66" s="119">
        <f>SUM(H66:W66)</f>
        <v/>
      </c>
      <c r="H66" s="120" t="n"/>
      <c r="I66" s="120" t="n"/>
      <c r="J66" s="120" t="n"/>
      <c r="K66" s="120" t="n"/>
      <c r="L66" s="120" t="n"/>
      <c r="M66" s="120" t="n"/>
      <c r="N66" s="120" t="n"/>
      <c r="O66" s="120" t="n"/>
      <c r="P66" s="120" t="n"/>
      <c r="Q66" s="121" t="n">
        <v>0.5</v>
      </c>
      <c r="R66" s="120" t="n"/>
      <c r="S66" s="120" t="n"/>
      <c r="T66" s="120" t="n"/>
      <c r="U66" s="121" t="n">
        <v>2.5</v>
      </c>
      <c r="V66" s="120" t="n"/>
      <c r="W66" s="120" t="n"/>
      <c r="X66" s="122">
        <f>G66*Sumar!$I$11</f>
        <v/>
      </c>
      <c r="Y66" s="126" t="inlineStr">
        <is>
          <t>3.Build</t>
        </is>
      </c>
      <c r="Z66" s="124" t="n"/>
    </row>
    <row r="67">
      <c r="A67" s="115" t="inlineStr">
        <is>
          <t>2.Dezvoltare / Integrare</t>
        </is>
      </c>
      <c r="B67" s="116" t="inlineStr">
        <is>
          <t>06 PLM</t>
        </is>
      </c>
      <c r="C67" s="117" t="inlineStr">
        <is>
          <t>07.05</t>
        </is>
      </c>
      <c r="D67" s="117" t="inlineStr">
        <is>
          <t>Import BOM / retete si tehnologii, gestiune revizii</t>
        </is>
      </c>
      <c r="E67" s="117" t="n"/>
      <c r="F67" s="118" t="n"/>
      <c r="G67" s="119">
        <f>SUM(H67:W67)</f>
        <v/>
      </c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1" t="n">
        <v>1</v>
      </c>
      <c r="R67" s="120" t="n"/>
      <c r="S67" s="120" t="n"/>
      <c r="T67" s="120" t="n"/>
      <c r="U67" s="121" t="n">
        <v>3</v>
      </c>
      <c r="V67" s="120" t="n"/>
      <c r="W67" s="120" t="n"/>
      <c r="X67" s="122">
        <f>G67*Sumar!$I$11</f>
        <v/>
      </c>
      <c r="Y67" s="126" t="inlineStr">
        <is>
          <t>3.Build</t>
        </is>
      </c>
      <c r="Z67" s="124" t="n"/>
    </row>
    <row r="68">
      <c r="A68" s="115" t="inlineStr">
        <is>
          <t>2.Dezvoltare / Integrare</t>
        </is>
      </c>
      <c r="B68" s="116" t="inlineStr">
        <is>
          <t>06 PLM</t>
        </is>
      </c>
      <c r="C68" s="117" t="inlineStr">
        <is>
          <t>07.06</t>
        </is>
      </c>
      <c r="D68" s="117" t="inlineStr">
        <is>
          <t>Feedback Charisma -&gt; PLM (coduri, stari) si jurnal erori</t>
        </is>
      </c>
      <c r="E68" s="117" t="n"/>
      <c r="F68" s="118" t="n"/>
      <c r="G68" s="119">
        <f>SUM(H68:W68)</f>
        <v/>
      </c>
      <c r="H68" s="120" t="n"/>
      <c r="I68" s="120" t="n"/>
      <c r="J68" s="120" t="n"/>
      <c r="K68" s="120" t="n"/>
      <c r="L68" s="120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1" t="n">
        <v>1.5</v>
      </c>
      <c r="V68" s="120" t="n"/>
      <c r="W68" s="120" t="n"/>
      <c r="X68" s="122">
        <f>G68*Sumar!$I$11</f>
        <v/>
      </c>
      <c r="Y68" s="126" t="inlineStr">
        <is>
          <t>3.Build</t>
        </is>
      </c>
      <c r="Z68" s="124" t="n"/>
    </row>
    <row r="69">
      <c r="A69" s="115" t="inlineStr">
        <is>
          <t>6.Testare</t>
        </is>
      </c>
      <c r="B69" s="116" t="inlineStr">
        <is>
          <t>06 PLM</t>
        </is>
      </c>
      <c r="C69" s="117" t="inlineStr">
        <is>
          <t>07.07</t>
        </is>
      </c>
      <c r="D69" s="117" t="inlineStr">
        <is>
          <t>Factory testing end-to-end</t>
        </is>
      </c>
      <c r="E69" s="117" t="n"/>
      <c r="F69" s="118" t="n"/>
      <c r="G69" s="119">
        <f>SUM(H69:W69)</f>
        <v/>
      </c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1" t="n">
        <v>0.5</v>
      </c>
      <c r="R69" s="121" t="n">
        <v>1</v>
      </c>
      <c r="S69" s="120" t="n"/>
      <c r="T69" s="120" t="n"/>
      <c r="U69" s="120" t="n"/>
      <c r="V69" s="120" t="n"/>
      <c r="W69" s="120" t="n"/>
      <c r="X69" s="122">
        <f>G69*Sumar!$I$11</f>
        <v/>
      </c>
      <c r="Y69" s="127" t="inlineStr">
        <is>
          <t>4.Test &amp; Training</t>
        </is>
      </c>
      <c r="Z69" s="124" t="n"/>
    </row>
    <row r="70">
      <c r="A70" s="115" t="inlineStr">
        <is>
          <t>7.Intrare in productie</t>
        </is>
      </c>
      <c r="B70" s="116" t="inlineStr">
        <is>
          <t>06 PLM</t>
        </is>
      </c>
      <c r="C70" s="117" t="inlineStr">
        <is>
          <t>07.08</t>
        </is>
      </c>
      <c r="D70" s="117" t="inlineStr">
        <is>
          <t>Training, intrare in productie si stabilizare</t>
        </is>
      </c>
      <c r="E70" s="117" t="n"/>
      <c r="F70" s="118" t="n"/>
      <c r="G70" s="119">
        <f>SUM(H70:W70)</f>
        <v/>
      </c>
      <c r="H70" s="120" t="n"/>
      <c r="I70" s="120" t="n"/>
      <c r="J70" s="120" t="n"/>
      <c r="K70" s="120" t="n"/>
      <c r="L70" s="120" t="n"/>
      <c r="M70" s="120" t="n"/>
      <c r="N70" s="121" t="n">
        <v>0.5</v>
      </c>
      <c r="O70" s="120" t="n"/>
      <c r="P70" s="120" t="n"/>
      <c r="Q70" s="121" t="n">
        <v>0.5</v>
      </c>
      <c r="R70" s="120" t="n"/>
      <c r="S70" s="120" t="n"/>
      <c r="T70" s="120" t="n"/>
      <c r="U70" s="120" t="n"/>
      <c r="V70" s="120" t="n"/>
      <c r="W70" s="120" t="n"/>
      <c r="X70" s="122">
        <f>G70*Sumar!$I$11</f>
        <v/>
      </c>
      <c r="Y70" s="128" t="inlineStr">
        <is>
          <t>5.Go-Live &amp; Hypercare</t>
        </is>
      </c>
      <c r="Z70" s="124" t="n"/>
    </row>
    <row r="71">
      <c r="A71" s="112" t="inlineStr">
        <is>
          <t>Livrabil</t>
        </is>
      </c>
      <c r="B71" s="112" t="inlineStr">
        <is>
          <t>07 Magento (total)</t>
        </is>
      </c>
      <c r="C71" s="112" t="inlineStr">
        <is>
          <t>08</t>
        </is>
      </c>
      <c r="D71" s="112" t="inlineStr">
        <is>
          <t>7. Integrare API Magento &lt;-&gt; Stocuri / Vanzari Charisma ERP</t>
        </is>
      </c>
      <c r="E71" s="112" t="n"/>
      <c r="F71" s="112" t="n"/>
      <c r="G71" s="113">
        <f>SUBTOTAL(9,G72:G86)</f>
        <v/>
      </c>
      <c r="H71" s="113">
        <f>SUBTOTAL(9,H72:H86)</f>
        <v/>
      </c>
      <c r="I71" s="113">
        <f>SUBTOTAL(9,I72:I86)</f>
        <v/>
      </c>
      <c r="J71" s="113">
        <f>SUBTOTAL(9,J72:J86)</f>
        <v/>
      </c>
      <c r="K71" s="113">
        <f>SUBTOTAL(9,K72:K86)</f>
        <v/>
      </c>
      <c r="L71" s="113">
        <f>SUBTOTAL(9,L72:L86)</f>
        <v/>
      </c>
      <c r="M71" s="113">
        <f>SUBTOTAL(9,M72:M86)</f>
        <v/>
      </c>
      <c r="N71" s="113">
        <f>SUBTOTAL(9,N72:N86)</f>
        <v/>
      </c>
      <c r="O71" s="113">
        <f>SUBTOTAL(9,O72:O86)</f>
        <v/>
      </c>
      <c r="P71" s="113">
        <f>SUBTOTAL(9,P72:P86)</f>
        <v/>
      </c>
      <c r="Q71" s="113">
        <f>SUBTOTAL(9,Q72:Q86)</f>
        <v/>
      </c>
      <c r="R71" s="113">
        <f>SUBTOTAL(9,R72:R86)</f>
        <v/>
      </c>
      <c r="S71" s="113">
        <f>SUBTOTAL(9,S72:S86)</f>
        <v/>
      </c>
      <c r="T71" s="113">
        <f>SUBTOTAL(9,T72:T86)</f>
        <v/>
      </c>
      <c r="U71" s="113">
        <f>SUBTOTAL(9,U72:U86)</f>
        <v/>
      </c>
      <c r="V71" s="113">
        <f>SUBTOTAL(9,V72:V86)</f>
        <v/>
      </c>
      <c r="W71" s="113">
        <f>SUBTOTAL(9,W72:W86)</f>
        <v/>
      </c>
      <c r="X71" s="114">
        <f>SUBTOTAL(9,X72:X86)</f>
        <v/>
      </c>
      <c r="Y71" s="112" t="n"/>
      <c r="Z71" s="112" t="inlineStr">
        <is>
          <t>Oferta: 28 zile/om x 700 EUR/zi</t>
        </is>
      </c>
    </row>
    <row r="72">
      <c r="A72" s="115" t="inlineStr">
        <is>
          <t>0.Project Management</t>
        </is>
      </c>
      <c r="B72" s="116" t="inlineStr">
        <is>
          <t>07 Magento</t>
        </is>
      </c>
      <c r="C72" s="117" t="inlineStr">
        <is>
          <t>08.01</t>
        </is>
      </c>
      <c r="D72" s="117" t="inlineStr">
        <is>
          <t>Kick-off, plan proiect, status reports</t>
        </is>
      </c>
      <c r="E72" s="117" t="n"/>
      <c r="F72" s="118" t="n"/>
      <c r="G72" s="119">
        <f>SUM(H72:W72)</f>
        <v/>
      </c>
      <c r="H72" s="120" t="n"/>
      <c r="I72" s="120" t="n"/>
      <c r="J72" s="120" t="n"/>
      <c r="K72" s="120" t="n"/>
      <c r="L72" s="120" t="n"/>
      <c r="M72" s="121" t="n">
        <v>1</v>
      </c>
      <c r="N72" s="121" t="n">
        <v>0.5</v>
      </c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2">
        <f>G72*Sumar!$I$12</f>
        <v/>
      </c>
      <c r="Y72" s="123" t="inlineStr">
        <is>
          <t>1.Project Setup</t>
        </is>
      </c>
      <c r="Z72" s="124" t="n"/>
    </row>
    <row r="73">
      <c r="A73" s="115" t="inlineStr">
        <is>
          <t>0.Project Management</t>
        </is>
      </c>
      <c r="B73" s="116" t="inlineStr">
        <is>
          <t>07 Magento</t>
        </is>
      </c>
      <c r="C73" s="117" t="inlineStr">
        <is>
          <t>08.02</t>
        </is>
      </c>
      <c r="D73" s="117" t="inlineStr">
        <is>
          <t>Steering-uri, coordonare cu agentia Magento</t>
        </is>
      </c>
      <c r="E73" s="117" t="n"/>
      <c r="F73" s="118" t="n"/>
      <c r="G73" s="119">
        <f>SUM(H73:W73)</f>
        <v/>
      </c>
      <c r="H73" s="120" t="n"/>
      <c r="I73" s="120" t="n"/>
      <c r="J73" s="120" t="n"/>
      <c r="K73" s="120" t="n"/>
      <c r="L73" s="120" t="n"/>
      <c r="M73" s="121" t="n">
        <v>0.5</v>
      </c>
      <c r="N73" s="121" t="n">
        <v>0.5</v>
      </c>
      <c r="O73" s="120" t="n"/>
      <c r="P73" s="120" t="n"/>
      <c r="Q73" s="120" t="n"/>
      <c r="R73" s="120" t="n"/>
      <c r="S73" s="120" t="n"/>
      <c r="T73" s="120" t="n"/>
      <c r="U73" s="120" t="n"/>
      <c r="V73" s="120" t="n"/>
      <c r="W73" s="120" t="n"/>
      <c r="X73" s="122">
        <f>G73*Sumar!$I$12</f>
        <v/>
      </c>
      <c r="Y73" s="123" t="inlineStr">
        <is>
          <t>1.Project Setup</t>
        </is>
      </c>
      <c r="Z73" s="124" t="n"/>
    </row>
    <row r="74">
      <c r="A74" s="115" t="inlineStr">
        <is>
          <t>1.Design</t>
        </is>
      </c>
      <c r="B74" s="116" t="inlineStr">
        <is>
          <t>07 Magento</t>
        </is>
      </c>
      <c r="C74" s="117" t="inlineStr">
        <is>
          <t>08.03</t>
        </is>
      </c>
      <c r="D74" s="117" t="inlineStr">
        <is>
          <t>Workshop-uri flux e-commerce (catalog, preturi, stocuri, comenzi, facturare, retururi)</t>
        </is>
      </c>
      <c r="E74" s="117" t="n"/>
      <c r="F74" s="118" t="n"/>
      <c r="G74" s="119">
        <f>SUM(H74:W74)</f>
        <v/>
      </c>
      <c r="H74" s="120" t="n"/>
      <c r="I74" s="120" t="n"/>
      <c r="J74" s="120" t="n"/>
      <c r="K74" s="120" t="n"/>
      <c r="L74" s="120" t="n"/>
      <c r="M74" s="120" t="n"/>
      <c r="N74" s="121" t="n">
        <v>1.5</v>
      </c>
      <c r="O74" s="121" t="n">
        <v>1</v>
      </c>
      <c r="P74" s="120" t="n"/>
      <c r="Q74" s="120" t="n"/>
      <c r="R74" s="120" t="n"/>
      <c r="S74" s="120" t="n"/>
      <c r="T74" s="120" t="n"/>
      <c r="U74" s="120" t="n"/>
      <c r="V74" s="120" t="n"/>
      <c r="W74" s="120" t="n"/>
      <c r="X74" s="122">
        <f>G74*Sumar!$I$12</f>
        <v/>
      </c>
      <c r="Y74" s="125" t="inlineStr">
        <is>
          <t>2.Analysis and Design</t>
        </is>
      </c>
      <c r="Z74" s="124" t="n"/>
    </row>
    <row r="75">
      <c r="A75" s="115" t="inlineStr">
        <is>
          <t>1.Design</t>
        </is>
      </c>
      <c r="B75" s="116" t="inlineStr">
        <is>
          <t>07 Magento</t>
        </is>
      </c>
      <c r="C75" s="117" t="inlineStr">
        <is>
          <t>08.04</t>
        </is>
      </c>
      <c r="D75" s="117" t="inlineStr">
        <is>
          <t>Specificatie si mapare date, validare cu clientul</t>
        </is>
      </c>
      <c r="E75" s="117" t="n"/>
      <c r="F75" s="118" t="n"/>
      <c r="G75" s="119">
        <f>SUM(H75:W75)</f>
        <v/>
      </c>
      <c r="H75" s="120" t="n"/>
      <c r="I75" s="120" t="n"/>
      <c r="J75" s="120" t="n"/>
      <c r="K75" s="120" t="n"/>
      <c r="L75" s="120" t="n"/>
      <c r="M75" s="120" t="n"/>
      <c r="N75" s="121" t="n">
        <v>0.5</v>
      </c>
      <c r="O75" s="120" t="n"/>
      <c r="P75" s="120" t="n"/>
      <c r="Q75" s="121" t="n">
        <v>1</v>
      </c>
      <c r="R75" s="120" t="n"/>
      <c r="S75" s="120" t="n"/>
      <c r="T75" s="120" t="n"/>
      <c r="U75" s="121" t="n">
        <v>0.5</v>
      </c>
      <c r="V75" s="120" t="n"/>
      <c r="W75" s="120" t="n"/>
      <c r="X75" s="122">
        <f>G75*Sumar!$I$12</f>
        <v/>
      </c>
      <c r="Y75" s="125" t="inlineStr">
        <is>
          <t>2.Analysis and Design</t>
        </is>
      </c>
      <c r="Z75" s="124" t="n"/>
    </row>
    <row r="76">
      <c r="A76" s="115" t="inlineStr">
        <is>
          <t>2.Configurari</t>
        </is>
      </c>
      <c r="B76" s="116" t="inlineStr">
        <is>
          <t>07 Magento</t>
        </is>
      </c>
      <c r="C76" s="117" t="inlineStr">
        <is>
          <t>08.05</t>
        </is>
      </c>
      <c r="D76" s="117" t="inlineStr">
        <is>
          <t>Configurari Charisma (gestiuni web, serii documente, tipuri comenzi, clienti)</t>
        </is>
      </c>
      <c r="E76" s="117" t="n"/>
      <c r="F76" s="118" t="n"/>
      <c r="G76" s="119">
        <f>SUM(H76:W76)</f>
        <v/>
      </c>
      <c r="H76" s="120" t="n"/>
      <c r="I76" s="120" t="n"/>
      <c r="J76" s="120" t="n"/>
      <c r="K76" s="120" t="n"/>
      <c r="L76" s="120" t="n"/>
      <c r="M76" s="120" t="n"/>
      <c r="N76" s="120" t="n"/>
      <c r="O76" s="121" t="n">
        <v>1</v>
      </c>
      <c r="P76" s="120" t="n"/>
      <c r="Q76" s="120" t="n"/>
      <c r="R76" s="121" t="n">
        <v>0.5</v>
      </c>
      <c r="S76" s="120" t="n"/>
      <c r="T76" s="120" t="n"/>
      <c r="U76" s="120" t="n"/>
      <c r="V76" s="120" t="n"/>
      <c r="W76" s="120" t="n"/>
      <c r="X76" s="122">
        <f>G76*Sumar!$I$12</f>
        <v/>
      </c>
      <c r="Y76" s="126" t="inlineStr">
        <is>
          <t>3.Build</t>
        </is>
      </c>
      <c r="Z76" s="124" t="n"/>
    </row>
    <row r="77">
      <c r="A77" s="115" t="inlineStr">
        <is>
          <t>2.Dezvoltare / Integrare</t>
        </is>
      </c>
      <c r="B77" s="116" t="inlineStr">
        <is>
          <t>07 Magento</t>
        </is>
      </c>
      <c r="C77" s="117" t="inlineStr">
        <is>
          <t>08.06</t>
        </is>
      </c>
      <c r="D77" s="117" t="inlineStr">
        <is>
          <t>Sincronizare catalog articole si atribute Charisma -&gt; Magento</t>
        </is>
      </c>
      <c r="E77" s="117" t="n"/>
      <c r="F77" s="118" t="n"/>
      <c r="G77" s="119">
        <f>SUM(H77:W77)</f>
        <v/>
      </c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1" t="n">
        <v>0.5</v>
      </c>
      <c r="R77" s="120" t="n"/>
      <c r="S77" s="120" t="n"/>
      <c r="T77" s="120" t="n"/>
      <c r="U77" s="121" t="n">
        <v>2.5</v>
      </c>
      <c r="V77" s="120" t="n"/>
      <c r="W77" s="120" t="n"/>
      <c r="X77" s="122">
        <f>G77*Sumar!$I$12</f>
        <v/>
      </c>
      <c r="Y77" s="126" t="inlineStr">
        <is>
          <t>3.Build</t>
        </is>
      </c>
      <c r="Z77" s="124" t="n"/>
    </row>
    <row r="78">
      <c r="A78" s="115" t="inlineStr">
        <is>
          <t>2.Dezvoltare / Integrare</t>
        </is>
      </c>
      <c r="B78" s="116" t="inlineStr">
        <is>
          <t>07 Magento</t>
        </is>
      </c>
      <c r="C78" s="117" t="inlineStr">
        <is>
          <t>08.07</t>
        </is>
      </c>
      <c r="D78" s="117" t="inlineStr">
        <is>
          <t>Sincronizare preturi si promotii</t>
        </is>
      </c>
      <c r="E78" s="117" t="n"/>
      <c r="F78" s="118" t="n"/>
      <c r="G78" s="119">
        <f>SUM(H78:W78)</f>
        <v/>
      </c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1" t="n">
        <v>0.5</v>
      </c>
      <c r="R78" s="120" t="n"/>
      <c r="S78" s="120" t="n"/>
      <c r="T78" s="120" t="n"/>
      <c r="U78" s="121" t="n">
        <v>1.5</v>
      </c>
      <c r="V78" s="120" t="n"/>
      <c r="W78" s="120" t="n"/>
      <c r="X78" s="122">
        <f>G78*Sumar!$I$12</f>
        <v/>
      </c>
      <c r="Y78" s="126" t="inlineStr">
        <is>
          <t>3.Build</t>
        </is>
      </c>
      <c r="Z78" s="124" t="n"/>
    </row>
    <row r="79">
      <c r="A79" s="115" t="inlineStr">
        <is>
          <t>2.Dezvoltare / Integrare</t>
        </is>
      </c>
      <c r="B79" s="116" t="inlineStr">
        <is>
          <t>07 Magento</t>
        </is>
      </c>
      <c r="C79" s="117" t="inlineStr">
        <is>
          <t>08.08</t>
        </is>
      </c>
      <c r="D79" s="117" t="inlineStr">
        <is>
          <t>Sincronizare stocuri pe gestiuni</t>
        </is>
      </c>
      <c r="E79" s="117" t="n"/>
      <c r="F79" s="118" t="n"/>
      <c r="G79" s="119">
        <f>SUM(H79:W79)</f>
        <v/>
      </c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1" t="n">
        <v>0.5</v>
      </c>
      <c r="R79" s="120" t="n"/>
      <c r="S79" s="120" t="n"/>
      <c r="T79" s="120" t="n"/>
      <c r="U79" s="121" t="n">
        <v>2.5</v>
      </c>
      <c r="V79" s="120" t="n"/>
      <c r="W79" s="120" t="n"/>
      <c r="X79" s="122">
        <f>G79*Sumar!$I$12</f>
        <v/>
      </c>
      <c r="Y79" s="126" t="inlineStr">
        <is>
          <t>3.Build</t>
        </is>
      </c>
      <c r="Z79" s="124" t="n"/>
    </row>
    <row r="80">
      <c r="A80" s="115" t="inlineStr">
        <is>
          <t>2.Dezvoltare / Integrare</t>
        </is>
      </c>
      <c r="B80" s="116" t="inlineStr">
        <is>
          <t>07 Magento</t>
        </is>
      </c>
      <c r="C80" s="117" t="inlineStr">
        <is>
          <t>08.09</t>
        </is>
      </c>
      <c r="D80" s="117" t="inlineStr">
        <is>
          <t>Preluare comenzi Magento -&gt; comenzi client Charisma (clienti, adrese, transport)</t>
        </is>
      </c>
      <c r="E80" s="117" t="n"/>
      <c r="F80" s="118" t="n"/>
      <c r="G80" s="119">
        <f>SUM(H80:W80)</f>
        <v/>
      </c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1" t="n">
        <v>1</v>
      </c>
      <c r="R80" s="120" t="n"/>
      <c r="S80" s="120" t="n"/>
      <c r="T80" s="120" t="n"/>
      <c r="U80" s="121" t="n">
        <v>3</v>
      </c>
      <c r="V80" s="120" t="n"/>
      <c r="W80" s="120" t="n"/>
      <c r="X80" s="122">
        <f>G80*Sumar!$I$12</f>
        <v/>
      </c>
      <c r="Y80" s="126" t="inlineStr">
        <is>
          <t>3.Build</t>
        </is>
      </c>
      <c r="Z80" s="124" t="n"/>
    </row>
    <row r="81">
      <c r="A81" s="115" t="inlineStr">
        <is>
          <t>2.Dezvoltare / Integrare</t>
        </is>
      </c>
      <c r="B81" s="116" t="inlineStr">
        <is>
          <t>07 Magento</t>
        </is>
      </c>
      <c r="C81" s="117" t="inlineStr">
        <is>
          <t>08.10</t>
        </is>
      </c>
      <c r="D81" s="117" t="inlineStr">
        <is>
          <t>Retur statusuri comenzi, facturi, AWB Charisma -&gt; Magento</t>
        </is>
      </c>
      <c r="E81" s="117" t="n"/>
      <c r="F81" s="118" t="n"/>
      <c r="G81" s="119">
        <f>SUM(H81:W81)</f>
        <v/>
      </c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1" t="n">
        <v>0.5</v>
      </c>
      <c r="R81" s="120" t="n"/>
      <c r="S81" s="120" t="n"/>
      <c r="T81" s="120" t="n"/>
      <c r="U81" s="121" t="n">
        <v>2</v>
      </c>
      <c r="V81" s="120" t="n"/>
      <c r="W81" s="120" t="n"/>
      <c r="X81" s="122">
        <f>G81*Sumar!$I$12</f>
        <v/>
      </c>
      <c r="Y81" s="126" t="inlineStr">
        <is>
          <t>3.Build</t>
        </is>
      </c>
      <c r="Z81" s="124" t="n"/>
    </row>
    <row r="82">
      <c r="A82" s="115" t="inlineStr">
        <is>
          <t>2.Dezvoltare / Integrare</t>
        </is>
      </c>
      <c r="B82" s="116" t="inlineStr">
        <is>
          <t>07 Magento</t>
        </is>
      </c>
      <c r="C82" s="117" t="inlineStr">
        <is>
          <t>08.11</t>
        </is>
      </c>
      <c r="D82" s="117" t="inlineStr">
        <is>
          <t>Jurnalizare, monitorizare si reprocesare erori</t>
        </is>
      </c>
      <c r="E82" s="117" t="n"/>
      <c r="F82" s="118" t="n"/>
      <c r="G82" s="119">
        <f>SUM(H82:W82)</f>
        <v/>
      </c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120" t="n"/>
      <c r="U82" s="121" t="n">
        <v>1.5</v>
      </c>
      <c r="V82" s="120" t="n"/>
      <c r="W82" s="120" t="n"/>
      <c r="X82" s="122">
        <f>G82*Sumar!$I$12</f>
        <v/>
      </c>
      <c r="Y82" s="126" t="inlineStr">
        <is>
          <t>3.Build</t>
        </is>
      </c>
      <c r="Z82" s="124" t="n"/>
    </row>
    <row r="83">
      <c r="A83" s="115" t="inlineStr">
        <is>
          <t>6.Testare</t>
        </is>
      </c>
      <c r="B83" s="116" t="inlineStr">
        <is>
          <t>07 Magento</t>
        </is>
      </c>
      <c r="C83" s="117" t="inlineStr">
        <is>
          <t>08.12</t>
        </is>
      </c>
      <c r="D83" s="117" t="inlineStr">
        <is>
          <t>Factory testing end-to-end</t>
        </is>
      </c>
      <c r="E83" s="117" t="n"/>
      <c r="F83" s="118" t="n"/>
      <c r="G83" s="119">
        <f>SUM(H83:W83)</f>
        <v/>
      </c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1" t="n">
        <v>0.5</v>
      </c>
      <c r="R83" s="121" t="n">
        <v>1</v>
      </c>
      <c r="S83" s="120" t="n"/>
      <c r="T83" s="120" t="n"/>
      <c r="U83" s="120" t="n"/>
      <c r="V83" s="120" t="n"/>
      <c r="W83" s="120" t="n"/>
      <c r="X83" s="122">
        <f>G83*Sumar!$I$12</f>
        <v/>
      </c>
      <c r="Y83" s="127" t="inlineStr">
        <is>
          <t>4.Test &amp; Training</t>
        </is>
      </c>
      <c r="Z83" s="124" t="n"/>
    </row>
    <row r="84">
      <c r="A84" s="115" t="inlineStr">
        <is>
          <t>6.Testare</t>
        </is>
      </c>
      <c r="B84" s="116" t="inlineStr">
        <is>
          <t>07 Magento</t>
        </is>
      </c>
      <c r="C84" s="117" t="inlineStr">
        <is>
          <t>08.13</t>
        </is>
      </c>
      <c r="D84" s="117" t="inlineStr">
        <is>
          <t>Suport UAT si corectii</t>
        </is>
      </c>
      <c r="E84" s="117" t="n"/>
      <c r="F84" s="118" t="n"/>
      <c r="G84" s="119">
        <f>SUM(H84:W84)</f>
        <v/>
      </c>
      <c r="H84" s="120" t="n"/>
      <c r="I84" s="120" t="n"/>
      <c r="J84" s="120" t="n"/>
      <c r="K84" s="120" t="n"/>
      <c r="L84" s="120" t="n"/>
      <c r="M84" s="120" t="n"/>
      <c r="N84" s="121" t="n">
        <v>0.5</v>
      </c>
      <c r="O84" s="121" t="n">
        <v>0.5</v>
      </c>
      <c r="P84" s="120" t="n"/>
      <c r="Q84" s="120" t="n"/>
      <c r="R84" s="120" t="n"/>
      <c r="S84" s="120" t="n"/>
      <c r="T84" s="120" t="n"/>
      <c r="U84" s="120" t="n"/>
      <c r="V84" s="120" t="n"/>
      <c r="W84" s="120" t="n"/>
      <c r="X84" s="122">
        <f>G84*Sumar!$I$12</f>
        <v/>
      </c>
      <c r="Y84" s="127" t="inlineStr">
        <is>
          <t>4.Test &amp; Training</t>
        </is>
      </c>
      <c r="Z84" s="124" t="n"/>
    </row>
    <row r="85">
      <c r="A85" s="115" t="inlineStr">
        <is>
          <t>5.Training</t>
        </is>
      </c>
      <c r="B85" s="116" t="inlineStr">
        <is>
          <t>07 Magento</t>
        </is>
      </c>
      <c r="C85" s="117" t="inlineStr">
        <is>
          <t>08.14</t>
        </is>
      </c>
      <c r="D85" s="117" t="inlineStr">
        <is>
          <t>Training utilizatori vanzari / logistica</t>
        </is>
      </c>
      <c r="E85" s="117" t="n"/>
      <c r="F85" s="118" t="n"/>
      <c r="G85" s="119">
        <f>SUM(H85:W85)</f>
        <v/>
      </c>
      <c r="H85" s="120" t="n"/>
      <c r="I85" s="120" t="n"/>
      <c r="J85" s="120" t="n"/>
      <c r="K85" s="120" t="n"/>
      <c r="L85" s="120" t="n"/>
      <c r="M85" s="120" t="n"/>
      <c r="N85" s="120" t="n"/>
      <c r="O85" s="121" t="n">
        <v>0.5</v>
      </c>
      <c r="P85" s="120" t="n"/>
      <c r="Q85" s="120" t="n"/>
      <c r="R85" s="120" t="n"/>
      <c r="S85" s="120" t="n"/>
      <c r="T85" s="120" t="n"/>
      <c r="U85" s="120" t="n"/>
      <c r="V85" s="120" t="n"/>
      <c r="W85" s="120" t="n"/>
      <c r="X85" s="122">
        <f>G85*Sumar!$I$12</f>
        <v/>
      </c>
      <c r="Y85" s="127" t="inlineStr">
        <is>
          <t>4.Test &amp; Training</t>
        </is>
      </c>
      <c r="Z85" s="124" t="n"/>
    </row>
    <row r="86">
      <c r="A86" s="115" t="inlineStr">
        <is>
          <t>7.Intrare in productie</t>
        </is>
      </c>
      <c r="B86" s="116" t="inlineStr">
        <is>
          <t>07 Magento</t>
        </is>
      </c>
      <c r="C86" s="117" t="inlineStr">
        <is>
          <t>08.15</t>
        </is>
      </c>
      <c r="D86" s="117" t="inlineStr">
        <is>
          <t>Intrare in productie si hypercare</t>
        </is>
      </c>
      <c r="E86" s="117" t="n"/>
      <c r="F86" s="118" t="n"/>
      <c r="G86" s="119">
        <f>SUM(H86:W86)</f>
        <v/>
      </c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1" t="n">
        <v>0.5</v>
      </c>
      <c r="R86" s="120" t="n"/>
      <c r="S86" s="120" t="n"/>
      <c r="T86" s="120" t="n"/>
      <c r="U86" s="120" t="n"/>
      <c r="V86" s="120" t="n"/>
      <c r="W86" s="120" t="n"/>
      <c r="X86" s="122">
        <f>G86*Sumar!$I$12</f>
        <v/>
      </c>
      <c r="Y86" s="128" t="inlineStr">
        <is>
          <t>5.Go-Live &amp; Hypercare</t>
        </is>
      </c>
      <c r="Z86" s="124" t="n"/>
    </row>
    <row r="87">
      <c r="A87" s="101" t="n"/>
      <c r="B87" s="101" t="n"/>
      <c r="C87" s="101" t="n"/>
      <c r="D87" s="129" t="inlineStr">
        <is>
          <t>TOTAL GENERAL — Scenariul 2 complet (fara TVA)</t>
        </is>
      </c>
      <c r="E87" s="101" t="n"/>
      <c r="F87" s="101" t="n"/>
      <c r="G87" s="130">
        <f>G3+G10+G24+G35+G41+G51+G62+G71</f>
        <v/>
      </c>
      <c r="H87" s="130">
        <f>H3+H10+H24+H35+H41+H51+H62+H71</f>
        <v/>
      </c>
      <c r="I87" s="130">
        <f>I3+I10+I24+I35+I41+I51+I62+I71</f>
        <v/>
      </c>
      <c r="J87" s="130">
        <f>J3+J10+J24+J35+J41+J51+J62+J71</f>
        <v/>
      </c>
      <c r="K87" s="130">
        <f>K3+K10+K24+K35+K41+K51+K62+K71</f>
        <v/>
      </c>
      <c r="L87" s="130">
        <f>L3+L10+L24+L35+L41+L51+L62+L71</f>
        <v/>
      </c>
      <c r="M87" s="130">
        <f>M3+M10+M24+M35+M41+M51+M62+M71</f>
        <v/>
      </c>
      <c r="N87" s="130">
        <f>N3+N10+N24+N35+N41+N51+N62+N71</f>
        <v/>
      </c>
      <c r="O87" s="130">
        <f>O3+O10+O24+O35+O41+O51+O62+O71</f>
        <v/>
      </c>
      <c r="P87" s="130">
        <f>P3+P10+P24+P35+P41+P51+P62+P71</f>
        <v/>
      </c>
      <c r="Q87" s="130">
        <f>Q3+Q10+Q24+Q35+Q41+Q51+Q62+Q71</f>
        <v/>
      </c>
      <c r="R87" s="130">
        <f>R3+R10+R24+R35+R41+R51+R62+R71</f>
        <v/>
      </c>
      <c r="S87" s="130">
        <f>S3+S10+S24+S35+S41+S51+S62+S71</f>
        <v/>
      </c>
      <c r="T87" s="130">
        <f>T3+T10+T24+T35+T41+T51+T62+T71</f>
        <v/>
      </c>
      <c r="U87" s="130">
        <f>U3+U10+U24+U35+U41+U51+U62+U71</f>
        <v/>
      </c>
      <c r="V87" s="130">
        <f>V3+V10+V24+V35+V41+V51+V62+V71</f>
        <v/>
      </c>
      <c r="W87" s="130">
        <f>W3+W10+W24+W35+W41+W51+W62+W71</f>
        <v/>
      </c>
      <c r="X87" s="102">
        <f>X3+X10+X24+X35+X41+X51+X62+X71</f>
        <v/>
      </c>
      <c r="Y87" s="101" t="n"/>
      <c r="Z87" s="101" t="n"/>
    </row>
  </sheetData>
  <autoFilter ref="A2:Z86"/>
  <mergeCells count="25">
    <mergeCell ref="V1:V2"/>
    <mergeCell ref="K1:K2"/>
    <mergeCell ref="C1:C2"/>
    <mergeCell ref="E1:E2"/>
    <mergeCell ref="M1:M2"/>
    <mergeCell ref="O1:O2"/>
    <mergeCell ref="W1:W2"/>
    <mergeCell ref="Q1:Q2"/>
    <mergeCell ref="Y1:Y2"/>
    <mergeCell ref="B1:B2"/>
    <mergeCell ref="L1:L2"/>
    <mergeCell ref="N1:N2"/>
    <mergeCell ref="T1:T2"/>
    <mergeCell ref="G1:G2"/>
    <mergeCell ref="Z1:Z2"/>
    <mergeCell ref="I1:I2"/>
    <mergeCell ref="S1:S2"/>
    <mergeCell ref="U1:U2"/>
    <mergeCell ref="D1:D2"/>
    <mergeCell ref="R1:R2"/>
    <mergeCell ref="F1:F2"/>
    <mergeCell ref="H1:H2"/>
    <mergeCell ref="J1:J2"/>
    <mergeCell ref="P1:P2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Alexandru Nastase</dc:creator>
  <dcterms:created xsi:type="dcterms:W3CDTF">2026-09-30T07:09:43Z</dcterms:created>
  <dcterms:modified xsi:type="dcterms:W3CDTF">2026-09-30T11:31:11Z</dcterms:modified>
  <cp:lastModifiedBy>Alexandru Nastase</cp:lastModifiedBy>
</cp:coreProperties>
</file>